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omfyUI-new\ComfyUI\custom_nodes\ComfyUI-HappNodeSet\"/>
    </mc:Choice>
  </mc:AlternateContent>
  <xr:revisionPtr revIDLastSave="0" documentId="13_ncr:1_{BA3ED4D6-A6F2-4128-9D03-78D9D4957E8D}" xr6:coauthVersionLast="47" xr6:coauthVersionMax="47" xr10:uidLastSave="{00000000-0000-0000-0000-000000000000}"/>
  <bookViews>
    <workbookView xWindow="-105" yWindow="0" windowWidth="14610" windowHeight="15585" xr2:uid="{458B8DA6-0025-4189-A65E-100091B52904}"/>
  </bookViews>
  <sheets>
    <sheet name="Quotation " sheetId="4" r:id="rId1"/>
    <sheet name="Pricelistเดิม" sheetId="16" state="hidden" r:id="rId2"/>
    <sheet name="ขั้นตอนการทำงาน" sheetId="3" state="hidden" r:id="rId3"/>
  </sheets>
  <definedNames>
    <definedName name="_xlnm._FilterDatabase" localSheetId="1" hidden="1">Pricelistเดิม!$A$4:$I$151</definedName>
    <definedName name="_xlnm.Print_Area" localSheetId="0">'Quotation '!$A$1:$I$51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4" l="1"/>
  <c r="C50" i="4" s="1"/>
  <c r="B50" i="4" l="1"/>
  <c r="G151" i="16"/>
  <c r="G139" i="16"/>
  <c r="G140" i="16"/>
  <c r="G141" i="16"/>
  <c r="G142" i="16"/>
  <c r="G143" i="16"/>
  <c r="G144" i="16"/>
  <c r="G145" i="16"/>
  <c r="G146" i="16"/>
  <c r="G147" i="16"/>
  <c r="G148" i="16"/>
  <c r="G149" i="16"/>
  <c r="G138" i="16"/>
  <c r="H151" i="16" l="1"/>
  <c r="H149" i="16"/>
  <c r="H139" i="16"/>
  <c r="H140" i="16"/>
  <c r="H141" i="16"/>
  <c r="H142" i="16"/>
  <c r="H143" i="16"/>
  <c r="H144" i="16"/>
  <c r="H145" i="16"/>
  <c r="H146" i="16"/>
  <c r="H147" i="16"/>
  <c r="H148" i="16"/>
  <c r="H138" i="16"/>
  <c r="H132" i="16"/>
  <c r="H133" i="16"/>
  <c r="H134" i="16"/>
  <c r="H135" i="16"/>
  <c r="H136" i="16"/>
  <c r="H131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13" i="16"/>
  <c r="H106" i="16"/>
  <c r="H107" i="16"/>
  <c r="H110" i="16"/>
  <c r="H111" i="16"/>
  <c r="H108" i="16"/>
  <c r="H109" i="16"/>
  <c r="H105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90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71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44" i="16"/>
  <c r="H32" i="16"/>
  <c r="H33" i="16"/>
  <c r="H34" i="16"/>
  <c r="H35" i="16"/>
  <c r="H36" i="16"/>
  <c r="H37" i="16"/>
  <c r="H38" i="16"/>
  <c r="H39" i="16"/>
  <c r="H40" i="16"/>
  <c r="H41" i="16"/>
  <c r="H42" i="16"/>
  <c r="H31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5" i="16"/>
  <c r="F151" i="16" l="1"/>
  <c r="F149" i="16"/>
  <c r="F148" i="16"/>
  <c r="F147" i="16"/>
  <c r="F146" i="16"/>
  <c r="F145" i="16"/>
  <c r="F144" i="16"/>
  <c r="F143" i="16"/>
  <c r="F142" i="16"/>
  <c r="F141" i="16"/>
  <c r="F140" i="16"/>
  <c r="F139" i="16"/>
  <c r="F138" i="16"/>
  <c r="F136" i="16"/>
  <c r="F135" i="16"/>
  <c r="F134" i="16"/>
  <c r="F133" i="16"/>
  <c r="F132" i="16"/>
  <c r="F131" i="16"/>
  <c r="F129" i="16"/>
  <c r="F128" i="16"/>
  <c r="F127" i="16"/>
  <c r="F126" i="16"/>
  <c r="F125" i="16"/>
  <c r="F124" i="16"/>
  <c r="F123" i="16"/>
  <c r="F122" i="16"/>
  <c r="F121" i="16"/>
  <c r="F120" i="16"/>
  <c r="F119" i="16"/>
  <c r="F118" i="16"/>
  <c r="F117" i="16"/>
  <c r="F116" i="16"/>
  <c r="F115" i="16"/>
  <c r="F114" i="16"/>
  <c r="F113" i="16"/>
  <c r="F109" i="16"/>
  <c r="F108" i="16"/>
  <c r="F111" i="16"/>
  <c r="F110" i="16"/>
  <c r="F107" i="16"/>
  <c r="F106" i="16"/>
  <c r="F105" i="16"/>
  <c r="F103" i="16"/>
  <c r="F102" i="16"/>
  <c r="F101" i="16"/>
  <c r="F100" i="16"/>
  <c r="F99" i="16"/>
  <c r="F98" i="16"/>
  <c r="F97" i="16"/>
  <c r="F96" i="16"/>
  <c r="F95" i="16"/>
  <c r="F94" i="16"/>
  <c r="F93" i="16"/>
  <c r="F92" i="16"/>
  <c r="F91" i="16"/>
  <c r="F90" i="16"/>
  <c r="F88" i="16"/>
  <c r="F87" i="16"/>
  <c r="F86" i="16"/>
  <c r="F85" i="16"/>
  <c r="F84" i="16"/>
  <c r="F83" i="16"/>
  <c r="F82" i="16"/>
  <c r="F81" i="16"/>
  <c r="F80" i="16"/>
  <c r="F79" i="16"/>
  <c r="F78" i="16"/>
  <c r="F77" i="16"/>
  <c r="F76" i="16"/>
  <c r="F75" i="16"/>
  <c r="F74" i="16"/>
  <c r="F73" i="16"/>
  <c r="F72" i="16"/>
  <c r="F71" i="16"/>
  <c r="F69" i="16"/>
  <c r="F68" i="16"/>
  <c r="F67" i="16"/>
  <c r="F66" i="16"/>
  <c r="F65" i="16"/>
  <c r="F64" i="16"/>
  <c r="F63" i="16"/>
  <c r="F62" i="16"/>
  <c r="F61" i="16"/>
  <c r="F60" i="16"/>
  <c r="F59" i="16"/>
  <c r="F58" i="16"/>
  <c r="F57" i="16"/>
  <c r="F56" i="16"/>
  <c r="F55" i="16"/>
  <c r="F54" i="16"/>
  <c r="F53" i="16"/>
  <c r="F52" i="16"/>
  <c r="F51" i="16"/>
  <c r="F50" i="16"/>
  <c r="F49" i="16"/>
  <c r="F48" i="16"/>
  <c r="F47" i="16"/>
  <c r="F46" i="16"/>
  <c r="F45" i="16"/>
  <c r="F44" i="16"/>
  <c r="F42" i="16"/>
  <c r="F41" i="16"/>
  <c r="F40" i="16"/>
  <c r="F39" i="16"/>
  <c r="F38" i="16"/>
  <c r="F37" i="16"/>
  <c r="F36" i="16"/>
  <c r="F35" i="16"/>
  <c r="F34" i="16"/>
  <c r="F33" i="16"/>
  <c r="F32" i="16"/>
  <c r="F31" i="16"/>
  <c r="F29" i="16"/>
  <c r="F28" i="16"/>
  <c r="F27" i="16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F24" i="4" l="1"/>
  <c r="H24" i="4" s="1"/>
  <c r="I24" i="4" s="1"/>
  <c r="I37" i="4" s="1"/>
  <c r="I39" i="4" s="1"/>
  <c r="I40" i="4" l="1"/>
  <c r="I4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G67" authorId="0" shapeId="0" xr:uid="{4E2D05B9-3FE9-487A-987C-D036684566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ราคาปรับจาก 19300 เป็น 23800 วันที่ 10/9/2564
16300 1/4/2567
</t>
        </r>
      </text>
    </comment>
  </commentList>
</comments>
</file>

<file path=xl/sharedStrings.xml><?xml version="1.0" encoding="utf-8"?>
<sst xmlns="http://schemas.openxmlformats.org/spreadsheetml/2006/main" count="782" uniqueCount="317">
  <si>
    <t xml:space="preserve"> บริษัท แฮปป์ เอ็กซิบิชั่น จำกัด      </t>
  </si>
  <si>
    <t>ราคาต้นทุน</t>
  </si>
  <si>
    <t>ราคาบวก 10%</t>
  </si>
  <si>
    <t>ลำดับ</t>
  </si>
  <si>
    <t>รายการ</t>
  </si>
  <si>
    <t>มูลค่าต้นทุน/บาท/แผ่น</t>
  </si>
  <si>
    <t xml:space="preserve">ราคาขาย </t>
  </si>
  <si>
    <t>สถานะสินค้า</t>
  </si>
  <si>
    <t>เหล็กแผ่นดำ SS400</t>
  </si>
  <si>
    <t>1</t>
  </si>
  <si>
    <t>SS400-1.2x2.4T1.2</t>
  </si>
  <si>
    <t>2</t>
  </si>
  <si>
    <t>SS400-1.2x2.4T1.5</t>
  </si>
  <si>
    <t>3</t>
  </si>
  <si>
    <t>SS400-1.2x2.4T2.0</t>
  </si>
  <si>
    <t>4</t>
  </si>
  <si>
    <t>SS400-1.5x3.0T2.0</t>
  </si>
  <si>
    <t>5</t>
  </si>
  <si>
    <t>SS400-1.2x2.4T3.0</t>
  </si>
  <si>
    <t>6</t>
  </si>
  <si>
    <t>SS400-1.5x3.0T3.0</t>
  </si>
  <si>
    <t>7</t>
  </si>
  <si>
    <t>SS400-1.2x2.4T4.0</t>
  </si>
  <si>
    <t>8</t>
  </si>
  <si>
    <t>SS400-1.5x3.0T4.0</t>
  </si>
  <si>
    <t>9</t>
  </si>
  <si>
    <t>SS400-1.2x2.4T4.5</t>
  </si>
  <si>
    <t>10</t>
  </si>
  <si>
    <t>SS400-1.5x3.0T4.5</t>
  </si>
  <si>
    <t>11</t>
  </si>
  <si>
    <t>SS400-1.2x2.4T5.0</t>
  </si>
  <si>
    <t>12</t>
  </si>
  <si>
    <t>SS400-1.5x3.0T5.0</t>
  </si>
  <si>
    <t>13</t>
  </si>
  <si>
    <t>SS400-1.2x2.4T6.0</t>
  </si>
  <si>
    <t>14</t>
  </si>
  <si>
    <t>SS400-1.5x3.0T6.0</t>
  </si>
  <si>
    <t>15</t>
  </si>
  <si>
    <t>SS400-1.2x2.4T8.0</t>
  </si>
  <si>
    <t>16</t>
  </si>
  <si>
    <t>SS400-1.2x2.4T9.0</t>
  </si>
  <si>
    <t>17</t>
  </si>
  <si>
    <t>SS400-1.2x2.4T10.0</t>
  </si>
  <si>
    <t>18</t>
  </si>
  <si>
    <t>SS400-1.5x3.0T10.0</t>
  </si>
  <si>
    <t>19</t>
  </si>
  <si>
    <t>SS400-1.2x2.4T12.0</t>
  </si>
  <si>
    <t>20</t>
  </si>
  <si>
    <t>SS400-1.5x3.0T12.0</t>
  </si>
  <si>
    <t>21</t>
  </si>
  <si>
    <t>SS400-1.2x2.4T20.0</t>
  </si>
  <si>
    <t>22</t>
  </si>
  <si>
    <t>SS400-1.2x2.4T15.0</t>
  </si>
  <si>
    <t>23</t>
  </si>
  <si>
    <t>SS400-1.5x3.0T15.0</t>
  </si>
  <si>
    <t>24</t>
  </si>
  <si>
    <t>SS400-1.2x2.4T6.0CP</t>
  </si>
  <si>
    <t>25</t>
  </si>
  <si>
    <t>SS400-1.2x2.4T16.0</t>
  </si>
  <si>
    <t>เหล็กแผ่นซุปซิ๊งค์  SECC</t>
  </si>
  <si>
    <t>SECC-1.2x2.4T0.5</t>
  </si>
  <si>
    <t>SECC-1.2x2.4T0.8</t>
  </si>
  <si>
    <t>SECC-1.2x2.4T1.0</t>
  </si>
  <si>
    <t>SECC-1.2x2.4T1.2</t>
  </si>
  <si>
    <t>SECC-1.2x2.4T1.5</t>
  </si>
  <si>
    <t>SECC-1.2x2.4T2.0</t>
  </si>
  <si>
    <t>SECC-1.2x2.4T3.0</t>
  </si>
  <si>
    <t>SECC-1.2x2.4T2.0CP</t>
  </si>
  <si>
    <t>SECC-1.2x2.4T3.0CP</t>
  </si>
  <si>
    <t>SECC-1.2x2.4T0.9SP</t>
  </si>
  <si>
    <t>SECC-1.2x2.4T1.0SP</t>
  </si>
  <si>
    <t>SECC-1.2x2.4T1.0F</t>
  </si>
  <si>
    <t>แผ่นสแตนเลส SUS 304 2B</t>
  </si>
  <si>
    <t>SUS3042B-1.2x2.4T0.8</t>
  </si>
  <si>
    <t>SUS3042B-1.2x2.4T1.0</t>
  </si>
  <si>
    <t>SUS3042B-1.5x3.05T1.0</t>
  </si>
  <si>
    <t>SUS3042B-1.22x2.44T1.2</t>
  </si>
  <si>
    <t>SUS3042B-1.2x3.0T1.2</t>
  </si>
  <si>
    <t>SUS3042B-1.5x3.0T1.2</t>
  </si>
  <si>
    <t>SUS3042B-1.22x2.44T1.5</t>
  </si>
  <si>
    <t>SUS3042B-1.2x3.05T1.5</t>
  </si>
  <si>
    <t>SUS3042B-1.5x3.05T1.5</t>
  </si>
  <si>
    <t>SUS3162B-1.2x2.4T1.5</t>
  </si>
  <si>
    <t>SUS3162B-1.5x3.0T1.5</t>
  </si>
  <si>
    <t>SUS3042B-1.22x2.4T2.0</t>
  </si>
  <si>
    <t>SUS3042B-1.5x3.0T2.0</t>
  </si>
  <si>
    <t>SUS3042B-1.2x2.4T3.0</t>
  </si>
  <si>
    <t>SUS3042B-1.2x3.0T3.0</t>
  </si>
  <si>
    <t>SUS3042B-1.2x2.4T4.0</t>
  </si>
  <si>
    <t>SUS3042B-1.2x2.4T5.0</t>
  </si>
  <si>
    <t>SUS304N1-1.2x2.4T5.0</t>
  </si>
  <si>
    <t>SUS3042B-1.5x3.0T5.0</t>
  </si>
  <si>
    <t>SUS304N1-1.2x2.4T6.0</t>
  </si>
  <si>
    <t>SUS3042B-1.2x2.4T6.0</t>
  </si>
  <si>
    <t>SUS304N1-1.2x2.4T8.0</t>
  </si>
  <si>
    <t>SUS304N1-1.2x2.4T9.0</t>
  </si>
  <si>
    <t>26</t>
  </si>
  <si>
    <t>SUS304N1-1.2x2.4T10.0</t>
  </si>
  <si>
    <t>SUS304N1-1.2x2.4T12.0</t>
  </si>
  <si>
    <t>แผ่นสแตนเลสมิลเลอร์   SUS 304</t>
  </si>
  <si>
    <t>SUS304MR-1.2x2.4T0.5</t>
  </si>
  <si>
    <t>SUS304MR-1.2x2.4T0.7</t>
  </si>
  <si>
    <t>SUS304MR-1.2x2.4T0.8</t>
  </si>
  <si>
    <t>SUS304MR-1.2x2.4T1.0</t>
  </si>
  <si>
    <t>SUS304MR-1.5x3.0T1.0</t>
  </si>
  <si>
    <t>SUS304MR-1.2x2.4T1.2</t>
  </si>
  <si>
    <t>SUS304MR-1.2x3.0T1.2</t>
  </si>
  <si>
    <t>SUS304MR-1.5x3.0T1.2</t>
  </si>
  <si>
    <t>SUS304MR-1.2x2.4T1.5</t>
  </si>
  <si>
    <t>SUS304MR-1.2x3.0T1.5</t>
  </si>
  <si>
    <t>SUS304MR-1.5x3.0T1.5</t>
  </si>
  <si>
    <t>SUS304MR-1.2x2.4T2.0</t>
  </si>
  <si>
    <t>SUS304MR-1.2x3.0T2.0</t>
  </si>
  <si>
    <t>SUS304MR-1.5x3.0T2.0</t>
  </si>
  <si>
    <t>SUS304MR-1.2x2.4T3.0</t>
  </si>
  <si>
    <t>SUS304MR-1.2x3.0T3.0</t>
  </si>
  <si>
    <t>SUS304MR-1.5x3.0T4.0</t>
  </si>
  <si>
    <t>SUS304MR-1.2x2.4T5.0</t>
  </si>
  <si>
    <t>แผ่นสแตนเลส SUS 304  HL</t>
  </si>
  <si>
    <t>SUS304HL-1.2x2.4T0.7</t>
  </si>
  <si>
    <t>SUS304HL-1.2x2.4T0.8</t>
  </si>
  <si>
    <t>SUS304HL-1.2x2.4T1.0</t>
  </si>
  <si>
    <t>SUS304HL-1.2x2.4T1.2</t>
  </si>
  <si>
    <t>SUS304HL-1.2x3.0T1.2</t>
  </si>
  <si>
    <t>SUS304HL-1.5x3.0T1.2</t>
  </si>
  <si>
    <t>SUS304HL-1.2x2.4T1.5</t>
  </si>
  <si>
    <t>SUS304HL-1.2x3.0T1.5</t>
  </si>
  <si>
    <t>SUS304HL-1.5x3.0T1.5</t>
  </si>
  <si>
    <t>SUS304HL-1.2x2.4T2.0</t>
  </si>
  <si>
    <t>SUS304HL-1.2x3.0T2.0</t>
  </si>
  <si>
    <t>SUS304HL-1.5x3.0T2.0</t>
  </si>
  <si>
    <t>SUS304HL-1.2x2.4T3.0</t>
  </si>
  <si>
    <t>SUS304HL-1.5x3.0T3.0</t>
  </si>
  <si>
    <t>แผ่นสแตนเลส SUS 304 (แผ่นสี)</t>
  </si>
  <si>
    <t>SUS304HL-1.2x2.4T1.0BK</t>
  </si>
  <si>
    <t>SUS304HL-1.2x3.0T1.2BK</t>
  </si>
  <si>
    <t>SUS304MR-1.2x2.4T1.0G</t>
  </si>
  <si>
    <t>SUS304MR-1.2x2.4T1.2G</t>
  </si>
  <si>
    <t>SUS304MR-1.2x2.4T1.2RG</t>
  </si>
  <si>
    <t>SUS304MR-1.2x2.4T1.2CPG</t>
  </si>
  <si>
    <t>SUS304MR-1.2x3.0T1.2G</t>
  </si>
  <si>
    <t xml:space="preserve">แผ่นอลูมิเนียม AL </t>
  </si>
  <si>
    <t>AL1100-1.2x2.4T1.0</t>
  </si>
  <si>
    <t>AL1100-1.2x2.4T1.2</t>
  </si>
  <si>
    <t>AL1100-1.2x2.4T1.5</t>
  </si>
  <si>
    <t>AL1100-1.2x2.4T2.0</t>
  </si>
  <si>
    <t>AL1100-1.5x3.0T2.0</t>
  </si>
  <si>
    <t>AL1100-1.2x2.4T3.0</t>
  </si>
  <si>
    <t>AL1100-1.2x2.4T3.0CP</t>
  </si>
  <si>
    <t>AL1100-1.2x2.4T4.0</t>
  </si>
  <si>
    <t>AL1100-1.2x2.4T5.0</t>
  </si>
  <si>
    <t>AL1100-1.2x2.4T6.0</t>
  </si>
  <si>
    <t>AL1100-1.2x2.4T10.0</t>
  </si>
  <si>
    <t>AL5052-1.2x2.4T2.0</t>
  </si>
  <si>
    <t>AL5052-1.2x2.4T3.0</t>
  </si>
  <si>
    <t>AL5083-1.2x2.4T5.0</t>
  </si>
  <si>
    <t>AL5083-1.5x3.0T5.0</t>
  </si>
  <si>
    <t>AL5083-1.2x2.4T8.0</t>
  </si>
  <si>
    <t>AL5083-1.2x2.4T9.0</t>
  </si>
  <si>
    <t>แผ่นทองเหลือง</t>
  </si>
  <si>
    <t>BRASS-1.2x2.4T0.8</t>
  </si>
  <si>
    <t>BRASS-1.2x2.4T1.5</t>
  </si>
  <si>
    <t>BRASS-0.6x1.2T2.0</t>
  </si>
  <si>
    <t>BRASS-1.2x2.4T2.0</t>
  </si>
  <si>
    <t>BRASS-1.2x2.4T3.0</t>
  </si>
  <si>
    <t>BRASS-1.2x2.4T4.5</t>
  </si>
  <si>
    <t>อะคริลิค</t>
  </si>
  <si>
    <t>ACR-1.2x2.4T2.0CL</t>
  </si>
  <si>
    <t>ACR-1.2x2.4T3.0CL</t>
  </si>
  <si>
    <t>ACR-1.2x2.4T3.0MW</t>
  </si>
  <si>
    <t>ACR-1.2x2.4T5.0CL</t>
  </si>
  <si>
    <t>ACR-1.2x2.4T5.0BK</t>
  </si>
  <si>
    <t>ACR-1.2x2.4T6.0BK</t>
  </si>
  <si>
    <t>ACR-1.2x2.4T8.0CL</t>
  </si>
  <si>
    <t>ACR-1.2x2.4T10.0CL</t>
  </si>
  <si>
    <t>ACR-1.2x2.4T10.0BK</t>
  </si>
  <si>
    <t>ACR-1.2x2.4T15.0CL</t>
  </si>
  <si>
    <t>ACR-1.2x2.4T20.0CL</t>
  </si>
  <si>
    <t>ACR-1.2x2.4T25.0CL</t>
  </si>
  <si>
    <t>ไม้ MDF</t>
  </si>
  <si>
    <t>MDF-1.2x2.4T15.0</t>
  </si>
  <si>
    <t>ขั้นตอน</t>
  </si>
  <si>
    <t>วิธีการทำ</t>
  </si>
  <si>
    <t>วิธีการคิด</t>
  </si>
  <si>
    <t>V-Cut</t>
  </si>
  <si>
    <r>
      <t>คือการ</t>
    </r>
    <r>
      <rPr>
        <sz val="20"/>
        <color rgb="FFFF0000"/>
        <rFont val="Browallia New"/>
        <family val="2"/>
      </rPr>
      <t>กรีด</t>
    </r>
    <r>
      <rPr>
        <sz val="20"/>
        <color theme="1"/>
        <rFont val="Browallia New"/>
        <family val="2"/>
      </rPr>
      <t>ชิ้นงานสำหรับพับงาน</t>
    </r>
  </si>
  <si>
    <r>
      <t>นับเป็นแนวในการ</t>
    </r>
    <r>
      <rPr>
        <sz val="20"/>
        <color rgb="FFFF0000"/>
        <rFont val="Browallia New"/>
        <family val="2"/>
      </rPr>
      <t>กรีด</t>
    </r>
  </si>
  <si>
    <t>ทำงานคู่กัน</t>
  </si>
  <si>
    <t>Pump พับ</t>
  </si>
  <si>
    <r>
      <t>เครื่อง</t>
    </r>
    <r>
      <rPr>
        <sz val="20"/>
        <color rgb="FFFF0000"/>
        <rFont val="Browallia New"/>
        <family val="2"/>
      </rPr>
      <t>พับ</t>
    </r>
  </si>
  <si>
    <t>ใช้ข้อมูล Total Length (Process Length)</t>
  </si>
  <si>
    <t>Laser</t>
  </si>
  <si>
    <t>เครื่อง Laser (การเจาะรูและยกหัวจะรวมในนี้)</t>
  </si>
  <si>
    <t>นับเป็นแนวในการพับเหมือน V-Cut</t>
  </si>
  <si>
    <t>WaterJet</t>
  </si>
  <si>
    <t>เครื่อง WaterJet</t>
  </si>
  <si>
    <t>ใช้ข้อมูล Time ในการคิด</t>
  </si>
  <si>
    <t>อะคริลิค+ลามิเนต+เหล็ก+สแตนเลส</t>
  </si>
  <si>
    <t>ใช้เครื่อง Laser</t>
  </si>
  <si>
    <t>อลูมิเนียม</t>
  </si>
  <si>
    <t>ใช้เครื่อง Fiber แต่คิดเงินเหมือน Laser</t>
  </si>
  <si>
    <t>Happ Exhibition Co., Ltd.</t>
  </si>
  <si>
    <t>52/8  Moo 11, Tumbol Ladsawai, Amphoe Lamlukka, Pathumthani Province 12150</t>
  </si>
  <si>
    <t>บริษัท แฮปป์ เอ็กซิบิชั่น จำกัด ( สำนักงานใหญ่ )</t>
  </si>
  <si>
    <t>เลขที่ 52/8  หมู่ที่ 11 ตำบลลาดสวาย อำเภอลำลูกกา จังหวัดปทุมธานี 12150</t>
  </si>
  <si>
    <t>Tax ID :</t>
  </si>
  <si>
    <t xml:space="preserve">     0 1 0 5 5 4 8 0 3 1 0 9 0</t>
  </si>
  <si>
    <t xml:space="preserve"> </t>
  </si>
  <si>
    <t xml:space="preserve">   เลขที่/Quotation No.</t>
  </si>
  <si>
    <t xml:space="preserve">   วันที่/Date</t>
  </si>
  <si>
    <t xml:space="preserve">   วันที่ส่งของ/Delivery Date</t>
  </si>
  <si>
    <t xml:space="preserve">   กำหนดชำระเงิน/Credit Term</t>
  </si>
  <si>
    <t xml:space="preserve">   ***  ชำระเงินสด ***</t>
  </si>
  <si>
    <t xml:space="preserve"> Email :</t>
  </si>
  <si>
    <t>รายการสินค้า</t>
  </si>
  <si>
    <t>Details of Material</t>
  </si>
  <si>
    <t>จำนวนหน่วย</t>
  </si>
  <si>
    <t>ราคา/หน่วย</t>
  </si>
  <si>
    <t>รวม(บาท)</t>
  </si>
  <si>
    <t>No.</t>
  </si>
  <si>
    <t>Quantity</t>
  </si>
  <si>
    <t>Price / Unit</t>
  </si>
  <si>
    <t xml:space="preserve">Amount </t>
  </si>
  <si>
    <t>Quantity(Units)</t>
  </si>
  <si>
    <t>Price/Unit</t>
  </si>
  <si>
    <t>Amount(Baht)</t>
  </si>
  <si>
    <t xml:space="preserve">"กรณี วัสดุเป็นของลูกค้า และวัสดุนั้นมีมูลค่ามากกว่าค่าจ้างตัดพับ </t>
  </si>
  <si>
    <t>เมื่อเกิดความเสียหายจากการทำงาน บริษัทขอรับผิดชอบ ไม่เกินค่าจ้างตัดพับนี้"</t>
  </si>
  <si>
    <t xml:space="preserve">   Job Name :  </t>
  </si>
  <si>
    <t xml:space="preserve"> รวม / Subtotal    </t>
  </si>
  <si>
    <t xml:space="preserve">หัก  ส่วนลด / Discount   </t>
  </si>
  <si>
    <t xml:space="preserve">รวมหักส่วนลด/Total after discount   </t>
  </si>
  <si>
    <t xml:space="preserve">ภาษีมูลค่าเพิ่ม / Vat 7%    </t>
  </si>
  <si>
    <t xml:space="preserve">รวมสุทธิ / Grand Total    </t>
  </si>
  <si>
    <t>We look forward to giving you our best service</t>
  </si>
  <si>
    <t>Order Confirmation accept all above mentioned conditions</t>
  </si>
  <si>
    <t xml:space="preserve">....................................................  </t>
  </si>
  <si>
    <t>(</t>
  </si>
  <si>
    <t>)</t>
  </si>
  <si>
    <t>ผู้จัดทำเอกสาร</t>
  </si>
  <si>
    <t xml:space="preserve"> ผู้ตรวจสอบ</t>
  </si>
  <si>
    <t xml:space="preserve">             /                 /</t>
  </si>
  <si>
    <t xml:space="preserve"> Tax ID : </t>
  </si>
  <si>
    <t>1200x2400mm.(4x8ฟุต)</t>
  </si>
  <si>
    <t>1500x3000mm.(5x10ฟุต)</t>
  </si>
  <si>
    <t>หนา 1.2 mm.</t>
  </si>
  <si>
    <t>หนา 1.5 mm.</t>
  </si>
  <si>
    <t>หนา 2.0 mm.</t>
  </si>
  <si>
    <t>หนา 3.0 mm.</t>
  </si>
  <si>
    <t>หนา 4.0 mm.</t>
  </si>
  <si>
    <t>หนา 4.5 mm.</t>
  </si>
  <si>
    <t>หนา 5.0 mm.</t>
  </si>
  <si>
    <t>หนา 6.0 mm.</t>
  </si>
  <si>
    <t>หนา 8.0 mm.</t>
  </si>
  <si>
    <t>หนา 9.0 mm.</t>
  </si>
  <si>
    <t>หนา 10.0 mm.</t>
  </si>
  <si>
    <t>หนา 12.0 mm.</t>
  </si>
  <si>
    <t>หนา 20.0 mm.</t>
  </si>
  <si>
    <t>หนา 15.0 mm.</t>
  </si>
  <si>
    <t>หนา 16.0 mm.</t>
  </si>
  <si>
    <t>หนา 0.5 mm.</t>
  </si>
  <si>
    <t>หนา 0.8 mm.</t>
  </si>
  <si>
    <t>หนา 1.0 mm.</t>
  </si>
  <si>
    <t>หนา 6.0 mm./ลายตีนไก่ CHECKER PLATE</t>
  </si>
  <si>
    <t>หนา 2.0 mm./ลาย</t>
  </si>
  <si>
    <t>หนา 3.0 mm./ลาย</t>
  </si>
  <si>
    <t>หนา 0.9 mm./ขาว</t>
  </si>
  <si>
    <t>หนา 1.0 mm./ขาว</t>
  </si>
  <si>
    <t>หนา 1.5 mm./สังกะสีเรียบ</t>
  </si>
  <si>
    <t>1200x3000mm.(4x10ฟุต)</t>
  </si>
  <si>
    <t>หนา 0.7 mm.</t>
  </si>
  <si>
    <t>หนา 1.0 mm./สีดำ</t>
  </si>
  <si>
    <t>หนา 1.2 mm./สีดำ</t>
  </si>
  <si>
    <t>หนา 1.0 mm./มิลเลอร์สีทอง</t>
  </si>
  <si>
    <t>หนา 1.2 mm./มิลเลอร์สีทอง</t>
  </si>
  <si>
    <t>หนา 1.2 mm./มิลเลอร์สีโรสโกลด์</t>
  </si>
  <si>
    <t>หนา 1.2 mm./มิลเลอร์สีแชมเปญโกลด์</t>
  </si>
  <si>
    <t>600x1200mm.(2x4ฟุต)</t>
  </si>
  <si>
    <t>หนา 2.0 mm. /สีใส</t>
  </si>
  <si>
    <t>หนา 3.0 mm. /สีใส</t>
  </si>
  <si>
    <t>หนา 5.0 mm. /สีใส</t>
  </si>
  <si>
    <t>หนา 8.0 mm. /สีใส</t>
  </si>
  <si>
    <t>หนา 10.0 mm. /สีใส</t>
  </si>
  <si>
    <t>หนา 15.0 mm. /สีใส</t>
  </si>
  <si>
    <t>หนา 20.0 mm. /สีใส</t>
  </si>
  <si>
    <t>หนา 25.0 mm. /สีใส</t>
  </si>
  <si>
    <t>หนา 3.0 mm. /สีขาวนม</t>
  </si>
  <si>
    <t>หนา 5.0 mm. /สีดำ</t>
  </si>
  <si>
    <t>หนา 6.0 mm. /สีดำ</t>
  </si>
  <si>
    <t>หนา 10.0 mm. /สีดำ</t>
  </si>
  <si>
    <t>หนา 15 mm.</t>
  </si>
  <si>
    <t>เหล็กแผ่นดำ SS400 - size :</t>
  </si>
  <si>
    <t>เหล็กแผ่นซุปซิ๊งค์  SECC - size :</t>
  </si>
  <si>
    <t>แผ่นสแตนเลส SUS 304 2B - size :</t>
  </si>
  <si>
    <t>แผ่นสแตนเลส SUS 316 2B - size :</t>
  </si>
  <si>
    <t>แผ่นสแตนเลส SUS 304 No.1 - size :</t>
  </si>
  <si>
    <t>แผ่นสแตนเลสมิลเลอร์ SUS 304 - size :</t>
  </si>
  <si>
    <t>แผ่นสแตนเลส SUS 304 HL - size :</t>
  </si>
  <si>
    <t>แผ่นอลูมิเนียม AL 1100 - size :</t>
  </si>
  <si>
    <t>แผ่นอลูมิเนียม AL 5052 - size :</t>
  </si>
  <si>
    <t>แผ่นอลูมิเนียม AL 5083 - size :</t>
  </si>
  <si>
    <t>แผ่นทองเหลือง - size :</t>
  </si>
  <si>
    <t>อะคริลิค - size :</t>
  </si>
  <si>
    <t>ไม้ MDF - size :</t>
  </si>
  <si>
    <t>ขนาด</t>
  </si>
  <si>
    <t>ตวามหนา</t>
  </si>
  <si>
    <t>แผ่นสแตนเลส SUS 304 HL NO.85 (แผ่นสี)</t>
  </si>
  <si>
    <t>แผ่นสแตนเลส SUS 304 NO.85 (แผ่นสี)</t>
  </si>
  <si>
    <t>แผ่นสแตนเลส SUS 304 NO.8 (แผ่นสี)</t>
  </si>
  <si>
    <t>หนา 3.0 mm./ตีนเป็ด</t>
  </si>
  <si>
    <r>
      <rPr>
        <b/>
        <u/>
        <sz val="18"/>
        <color rgb="FF0000CC"/>
        <rFont val="BrowalliaUPC"/>
        <family val="2"/>
        <charset val="222"/>
      </rPr>
      <t>สีน้ำเงินอัปเดต</t>
    </r>
    <r>
      <rPr>
        <b/>
        <u/>
        <sz val="18"/>
        <color rgb="FFFF0000"/>
        <rFont val="BrowalliaUPC"/>
        <family val="2"/>
      </rPr>
      <t xml:space="preserve"> สีแดงไม่อัปเดต</t>
    </r>
  </si>
  <si>
    <t>Tel : 0-2915-8601-2  ,086-378-7998  Fax : 0-2915-8600  E-mail : happrecision.happexhibition@gmail.com</t>
  </si>
  <si>
    <t xml:space="preserve">  ลูกค้า/Customer :</t>
  </si>
  <si>
    <t xml:space="preserve">  ที่อยู่/Address :</t>
  </si>
  <si>
    <t xml:space="preserve"> Tel :</t>
  </si>
  <si>
    <t>พิชญ์ชญาฎา</t>
  </si>
  <si>
    <t>( นายณฐวรรธก์    จีระภัทร์ 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</si>
</sst>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409]dd\-mmm\-yy;@"/>
    <numFmt numFmtId="166" formatCode="#,##0_ ;\-#,##0\ "/>
    <numFmt numFmtId="167" formatCode="[$-C09]dd\-mmm\-yy;@"/>
  </numFmts>
  <fonts count="3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b/>
      <sz val="24"/>
      <name val="BrowalliaUPC"/>
      <family val="2"/>
    </font>
    <font>
      <b/>
      <u/>
      <sz val="18"/>
      <color rgb="FFFF0000"/>
      <name val="BrowalliaUPC"/>
      <family val="2"/>
    </font>
    <font>
      <sz val="18"/>
      <name val="BrowalliaUPC"/>
      <family val="2"/>
    </font>
    <font>
      <sz val="18"/>
      <color theme="1"/>
      <name val="BrowalliaUPC"/>
      <family val="2"/>
    </font>
    <font>
      <sz val="16"/>
      <name val="BrowalliaUPC"/>
      <family val="2"/>
    </font>
    <font>
      <b/>
      <sz val="18"/>
      <name val="BrowalliaUPC"/>
      <family val="2"/>
    </font>
    <font>
      <u/>
      <sz val="18"/>
      <color rgb="FFFF0000"/>
      <name val="BrowalliaUPC"/>
      <family val="2"/>
    </font>
    <font>
      <u/>
      <sz val="18"/>
      <name val="BrowalliaUPC"/>
      <family val="2"/>
    </font>
    <font>
      <b/>
      <sz val="20"/>
      <name val="BrowalliaUPC"/>
      <family val="2"/>
    </font>
    <font>
      <b/>
      <sz val="16"/>
      <name val="BrowalliaUPC"/>
      <family val="2"/>
    </font>
    <font>
      <b/>
      <sz val="36"/>
      <name val="BrowalliaUPC"/>
      <family val="2"/>
    </font>
    <font>
      <b/>
      <sz val="20"/>
      <color rgb="FFFF0000"/>
      <name val="BrowalliaUPC"/>
      <family val="2"/>
    </font>
    <font>
      <b/>
      <sz val="24"/>
      <color theme="1"/>
      <name val="BrowalliaUPC"/>
      <family val="2"/>
    </font>
    <font>
      <b/>
      <sz val="16"/>
      <color theme="1"/>
      <name val="BrowalliaUPC"/>
      <family val="2"/>
    </font>
    <font>
      <b/>
      <sz val="24"/>
      <color rgb="FFFF0000"/>
      <name val="BrowalliaUPC"/>
      <family val="2"/>
    </font>
    <font>
      <sz val="18"/>
      <color rgb="FFFF0000"/>
      <name val="BrowalliaUPC"/>
      <family val="2"/>
    </font>
    <font>
      <b/>
      <sz val="18"/>
      <color rgb="FFFF0000"/>
      <name val="BrowalliaUPC"/>
      <family val="2"/>
    </font>
    <font>
      <sz val="24"/>
      <color rgb="FFFF0000"/>
      <name val="BrowalliaUPC"/>
      <family val="2"/>
    </font>
    <font>
      <sz val="24"/>
      <name val="BrowalliaUP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20"/>
      <color theme="1"/>
      <name val="Browallia New"/>
      <family val="2"/>
    </font>
    <font>
      <sz val="20"/>
      <color rgb="FFFF0000"/>
      <name val="Browallia New"/>
      <family val="2"/>
    </font>
    <font>
      <sz val="18"/>
      <name val="Cordia New"/>
      <family val="2"/>
    </font>
    <font>
      <b/>
      <sz val="18"/>
      <name val="Cordia New"/>
      <family val="2"/>
    </font>
    <font>
      <sz val="18"/>
      <color theme="1"/>
      <name val="Cordia New"/>
      <family val="2"/>
    </font>
    <font>
      <b/>
      <sz val="18"/>
      <color theme="1"/>
      <name val="Cordia New"/>
      <family val="2"/>
    </font>
    <font>
      <sz val="18"/>
      <color theme="0"/>
      <name val="Cordia New"/>
      <family val="2"/>
    </font>
    <font>
      <b/>
      <i/>
      <sz val="18"/>
      <color theme="1"/>
      <name val="Cordia New"/>
      <family val="2"/>
    </font>
    <font>
      <sz val="18"/>
      <color rgb="FFFF0000"/>
      <name val="Cordia New"/>
      <family val="2"/>
    </font>
    <font>
      <sz val="16"/>
      <color rgb="FFFF0000"/>
      <name val="BrowalliaUPC"/>
      <family val="2"/>
    </font>
    <font>
      <b/>
      <sz val="22"/>
      <name val="BrowalliaUPC"/>
      <family val="2"/>
    </font>
    <font>
      <sz val="18"/>
      <color rgb="FF0000CC"/>
      <name val="BrowalliaUPC"/>
      <family val="2"/>
    </font>
    <font>
      <sz val="12"/>
      <color theme="1"/>
      <name val="Calibri"/>
      <family val="2"/>
      <scheme val="minor"/>
    </font>
    <font>
      <b/>
      <u/>
      <sz val="18"/>
      <color rgb="FF0000CC"/>
      <name val="BrowalliaUPC"/>
      <family val="2"/>
      <charset val="222"/>
    </font>
    <font>
      <b/>
      <u/>
      <sz val="18"/>
      <color rgb="FFFF0000"/>
      <name val="BrowalliaUPC"/>
      <family val="2"/>
      <charset val="22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 style="thick">
        <color indexed="64"/>
      </right>
      <top style="hair">
        <color indexed="64"/>
      </top>
      <bottom/>
      <diagonal/>
    </border>
    <border>
      <left style="medium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</cellStyleXfs>
  <cellXfs count="165">
    <xf numFmtId="0" fontId="0" fillId="0" borderId="0" xfId="0"/>
    <xf numFmtId="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7" fillId="0" borderId="2" xfId="0" applyNumberFormat="1" applyFont="1" applyBorder="1" applyAlignment="1">
      <alignment horizontal="left" vertical="center"/>
    </xf>
    <xf numFmtId="43" fontId="8" fillId="0" borderId="2" xfId="1" applyFont="1" applyFill="1" applyBorder="1" applyAlignment="1">
      <alignment horizontal="center" vertical="center"/>
    </xf>
    <xf numFmtId="4" fontId="9" fillId="0" borderId="3" xfId="0" applyNumberFormat="1" applyFont="1" applyBorder="1" applyAlignment="1">
      <alignment horizontal="center" vertical="center"/>
    </xf>
    <xf numFmtId="49" fontId="11" fillId="3" borderId="5" xfId="0" applyNumberFormat="1" applyFont="1" applyFill="1" applyBorder="1" applyAlignment="1">
      <alignment horizontal="center" vertical="center"/>
    </xf>
    <xf numFmtId="49" fontId="12" fillId="3" borderId="6" xfId="0" applyNumberFormat="1" applyFont="1" applyFill="1" applyBorder="1" applyAlignment="1">
      <alignment horizontal="center" vertical="center"/>
    </xf>
    <xf numFmtId="43" fontId="13" fillId="3" borderId="6" xfId="1" applyFont="1" applyFill="1" applyBorder="1" applyAlignment="1">
      <alignment horizontal="center" vertical="center" wrapText="1"/>
    </xf>
    <xf numFmtId="4" fontId="10" fillId="3" borderId="7" xfId="0" applyNumberFormat="1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43" fontId="16" fillId="3" borderId="10" xfId="1" applyFont="1" applyFill="1" applyBorder="1" applyAlignment="1">
      <alignment horizontal="center" vertical="center"/>
    </xf>
    <xf numFmtId="4" fontId="2" fillId="3" borderId="11" xfId="0" applyNumberFormat="1" applyFont="1" applyFill="1" applyBorder="1" applyAlignment="1">
      <alignment horizontal="center" vertical="center"/>
    </xf>
    <xf numFmtId="49" fontId="6" fillId="0" borderId="10" xfId="0" applyNumberFormat="1" applyFont="1" applyBorder="1" applyAlignment="1">
      <alignment horizontal="left" vertical="center" indent="1"/>
    </xf>
    <xf numFmtId="49" fontId="4" fillId="0" borderId="10" xfId="0" applyNumberFormat="1" applyFont="1" applyBorder="1" applyAlignment="1">
      <alignment horizontal="left" vertical="center" indent="1"/>
    </xf>
    <xf numFmtId="43" fontId="17" fillId="0" borderId="10" xfId="1" applyFont="1" applyFill="1" applyBorder="1" applyAlignment="1">
      <alignment horizontal="center" vertical="center"/>
    </xf>
    <xf numFmtId="4" fontId="4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49" fontId="11" fillId="3" borderId="9" xfId="0" applyNumberFormat="1" applyFont="1" applyFill="1" applyBorder="1" applyAlignment="1">
      <alignment horizontal="center" vertical="center"/>
    </xf>
    <xf numFmtId="49" fontId="2" fillId="3" borderId="9" xfId="0" applyNumberFormat="1" applyFont="1" applyFill="1" applyBorder="1" applyAlignment="1">
      <alignment horizontal="center" vertical="center"/>
    </xf>
    <xf numFmtId="43" fontId="17" fillId="3" borderId="10" xfId="1" applyFont="1" applyFill="1" applyBorder="1" applyAlignment="1">
      <alignment horizontal="center" vertical="center"/>
    </xf>
    <xf numFmtId="4" fontId="4" fillId="3" borderId="1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43" fontId="18" fillId="3" borderId="10" xfId="1" applyFont="1" applyFill="1" applyBorder="1" applyAlignment="1">
      <alignment horizontal="center" vertical="center"/>
    </xf>
    <xf numFmtId="4" fontId="7" fillId="3" borderId="11" xfId="0" applyNumberFormat="1" applyFont="1" applyFill="1" applyBorder="1" applyAlignment="1">
      <alignment horizontal="center" vertical="center"/>
    </xf>
    <xf numFmtId="49" fontId="6" fillId="0" borderId="10" xfId="0" quotePrefix="1" applyNumberFormat="1" applyFont="1" applyBorder="1" applyAlignment="1">
      <alignment horizontal="left" vertical="center" indent="1"/>
    </xf>
    <xf numFmtId="43" fontId="19" fillId="3" borderId="10" xfId="1" applyFont="1" applyFill="1" applyBorder="1" applyAlignment="1">
      <alignment horizontal="center" vertical="center"/>
    </xf>
    <xf numFmtId="4" fontId="20" fillId="3" borderId="1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43" fontId="17" fillId="0" borderId="0" xfId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 indent="1"/>
    </xf>
    <xf numFmtId="0" fontId="23" fillId="0" borderId="0" xfId="0" applyFont="1" applyAlignment="1">
      <alignment vertical="center"/>
    </xf>
    <xf numFmtId="0" fontId="25" fillId="4" borderId="0" xfId="0" applyFont="1" applyFill="1" applyAlignment="1">
      <alignment vertical="center"/>
    </xf>
    <xf numFmtId="0" fontId="25" fillId="4" borderId="0" xfId="0" applyFont="1" applyFill="1" applyAlignment="1">
      <alignment horizontal="center" vertical="center"/>
    </xf>
    <xf numFmtId="1" fontId="25" fillId="4" borderId="0" xfId="0" applyNumberFormat="1" applyFont="1" applyFill="1" applyAlignment="1">
      <alignment horizontal="center" vertical="center"/>
    </xf>
    <xf numFmtId="1" fontId="25" fillId="4" borderId="0" xfId="0" applyNumberFormat="1" applyFont="1" applyFill="1" applyAlignment="1">
      <alignment vertical="center"/>
    </xf>
    <xf numFmtId="0" fontId="26" fillId="4" borderId="0" xfId="0" applyFont="1" applyFill="1" applyAlignment="1">
      <alignment vertical="center"/>
    </xf>
    <xf numFmtId="0" fontId="26" fillId="4" borderId="0" xfId="0" applyFont="1" applyFill="1" applyAlignment="1">
      <alignment horizontal="right" vertical="center"/>
    </xf>
    <xf numFmtId="0" fontId="25" fillId="4" borderId="0" xfId="0" applyFont="1" applyFill="1" applyAlignment="1">
      <alignment horizontal="left" vertical="center"/>
    </xf>
    <xf numFmtId="0" fontId="27" fillId="4" borderId="1" xfId="0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27" fillId="4" borderId="3" xfId="0" applyFont="1" applyFill="1" applyBorder="1" applyAlignment="1">
      <alignment vertical="center"/>
    </xf>
    <xf numFmtId="0" fontId="27" fillId="4" borderId="0" xfId="0" applyFont="1" applyFill="1" applyAlignment="1">
      <alignment vertical="center"/>
    </xf>
    <xf numFmtId="0" fontId="28" fillId="4" borderId="17" xfId="0" applyFont="1" applyFill="1" applyBorder="1" applyAlignment="1">
      <alignment vertical="center"/>
    </xf>
    <xf numFmtId="0" fontId="27" fillId="4" borderId="18" xfId="0" applyFont="1" applyFill="1" applyBorder="1" applyAlignment="1">
      <alignment vertical="center"/>
    </xf>
    <xf numFmtId="49" fontId="27" fillId="4" borderId="0" xfId="0" applyNumberFormat="1" applyFont="1" applyFill="1" applyAlignment="1">
      <alignment vertical="center"/>
    </xf>
    <xf numFmtId="49" fontId="27" fillId="4" borderId="18" xfId="0" applyNumberFormat="1" applyFont="1" applyFill="1" applyBorder="1" applyAlignment="1">
      <alignment vertical="center"/>
    </xf>
    <xf numFmtId="165" fontId="27" fillId="4" borderId="0" xfId="0" applyNumberFormat="1" applyFont="1" applyFill="1" applyAlignment="1">
      <alignment horizontal="left" vertical="center"/>
    </xf>
    <xf numFmtId="0" fontId="27" fillId="4" borderId="17" xfId="0" applyFont="1" applyFill="1" applyBorder="1" applyAlignment="1">
      <alignment vertical="center"/>
    </xf>
    <xf numFmtId="0" fontId="27" fillId="4" borderId="19" xfId="0" applyFont="1" applyFill="1" applyBorder="1" applyAlignment="1">
      <alignment vertical="center"/>
    </xf>
    <xf numFmtId="0" fontId="27" fillId="4" borderId="20" xfId="0" applyFont="1" applyFill="1" applyBorder="1" applyAlignment="1">
      <alignment vertical="center"/>
    </xf>
    <xf numFmtId="49" fontId="27" fillId="4" borderId="20" xfId="0" applyNumberFormat="1" applyFont="1" applyFill="1" applyBorder="1" applyAlignment="1">
      <alignment vertical="center"/>
    </xf>
    <xf numFmtId="49" fontId="27" fillId="4" borderId="21" xfId="0" applyNumberFormat="1" applyFont="1" applyFill="1" applyBorder="1" applyAlignment="1">
      <alignment vertical="center"/>
    </xf>
    <xf numFmtId="0" fontId="27" fillId="4" borderId="22" xfId="0" applyFont="1" applyFill="1" applyBorder="1" applyAlignment="1">
      <alignment vertical="center"/>
    </xf>
    <xf numFmtId="0" fontId="27" fillId="4" borderId="23" xfId="0" applyFont="1" applyFill="1" applyBorder="1" applyAlignment="1">
      <alignment horizontal="center" vertical="center"/>
    </xf>
    <xf numFmtId="4" fontId="25" fillId="4" borderId="23" xfId="0" applyNumberFormat="1" applyFont="1" applyFill="1" applyBorder="1" applyAlignment="1">
      <alignment horizontal="center" vertical="center"/>
    </xf>
    <xf numFmtId="0" fontId="25" fillId="4" borderId="2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5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5" fillId="4" borderId="26" xfId="0" applyFont="1" applyFill="1" applyBorder="1" applyAlignment="1">
      <alignment horizontal="center" vertical="center"/>
    </xf>
    <xf numFmtId="0" fontId="25" fillId="4" borderId="27" xfId="0" applyFont="1" applyFill="1" applyBorder="1" applyAlignment="1">
      <alignment horizontal="center" vertical="center"/>
    </xf>
    <xf numFmtId="0" fontId="25" fillId="4" borderId="28" xfId="0" applyFont="1" applyFill="1" applyBorder="1" applyAlignment="1">
      <alignment horizontal="center" vertical="center"/>
    </xf>
    <xf numFmtId="4" fontId="25" fillId="4" borderId="25" xfId="0" applyNumberFormat="1" applyFont="1" applyFill="1" applyBorder="1" applyAlignment="1">
      <alignment horizontal="center" vertical="center"/>
    </xf>
    <xf numFmtId="0" fontId="25" fillId="4" borderId="25" xfId="0" applyFont="1" applyFill="1" applyBorder="1" applyAlignment="1">
      <alignment horizontal="center" vertical="center"/>
    </xf>
    <xf numFmtId="0" fontId="27" fillId="4" borderId="17" xfId="0" applyFont="1" applyFill="1" applyBorder="1" applyAlignment="1">
      <alignment horizontal="center" vertical="center"/>
    </xf>
    <xf numFmtId="49" fontId="28" fillId="4" borderId="1" xfId="0" applyNumberFormat="1" applyFont="1" applyFill="1" applyBorder="1" applyAlignment="1">
      <alignment vertical="center"/>
    </xf>
    <xf numFmtId="49" fontId="28" fillId="4" borderId="3" xfId="0" applyNumberFormat="1" applyFont="1" applyFill="1" applyBorder="1" applyAlignment="1">
      <alignment vertical="center"/>
    </xf>
    <xf numFmtId="166" fontId="25" fillId="4" borderId="23" xfId="1" applyNumberFormat="1" applyFont="1" applyFill="1" applyBorder="1" applyAlignment="1">
      <alignment horizontal="center" vertical="center"/>
    </xf>
    <xf numFmtId="43" fontId="25" fillId="4" borderId="23" xfId="1" applyFont="1" applyFill="1" applyBorder="1" applyAlignment="1">
      <alignment horizontal="center" vertical="center"/>
    </xf>
    <xf numFmtId="43" fontId="25" fillId="4" borderId="18" xfId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vertical="center"/>
    </xf>
    <xf numFmtId="43" fontId="25" fillId="4" borderId="29" xfId="1" applyFont="1" applyFill="1" applyBorder="1" applyAlignment="1">
      <alignment vertical="center"/>
    </xf>
    <xf numFmtId="0" fontId="25" fillId="4" borderId="17" xfId="0" quotePrefix="1" applyFont="1" applyFill="1" applyBorder="1" applyAlignment="1">
      <alignment horizontal="center" vertical="center"/>
    </xf>
    <xf numFmtId="49" fontId="27" fillId="4" borderId="17" xfId="0" applyNumberFormat="1" applyFont="1" applyFill="1" applyBorder="1" applyAlignment="1">
      <alignment vertical="center"/>
    </xf>
    <xf numFmtId="166" fontId="25" fillId="4" borderId="29" xfId="1" applyNumberFormat="1" applyFont="1" applyFill="1" applyBorder="1" applyAlignment="1">
      <alignment horizontal="center" vertical="center"/>
    </xf>
    <xf numFmtId="43" fontId="25" fillId="4" borderId="29" xfId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horizontal="center" vertical="center"/>
    </xf>
    <xf numFmtId="1" fontId="25" fillId="4" borderId="0" xfId="1" applyNumberFormat="1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49" fontId="30" fillId="4" borderId="17" xfId="0" applyNumberFormat="1" applyFont="1" applyFill="1" applyBorder="1" applyAlignment="1">
      <alignment vertical="center"/>
    </xf>
    <xf numFmtId="49" fontId="30" fillId="4" borderId="18" xfId="0" applyNumberFormat="1" applyFont="1" applyFill="1" applyBorder="1" applyAlignment="1">
      <alignment vertical="center"/>
    </xf>
    <xf numFmtId="49" fontId="27" fillId="4" borderId="19" xfId="0" applyNumberFormat="1" applyFont="1" applyFill="1" applyBorder="1" applyAlignment="1">
      <alignment vertical="center"/>
    </xf>
    <xf numFmtId="166" fontId="25" fillId="4" borderId="25" xfId="1" applyNumberFormat="1" applyFont="1" applyFill="1" applyBorder="1" applyAlignment="1">
      <alignment horizontal="center" vertical="center"/>
    </xf>
    <xf numFmtId="43" fontId="25" fillId="4" borderId="25" xfId="1" applyFont="1" applyFill="1" applyBorder="1" applyAlignment="1">
      <alignment horizontal="center" vertical="center"/>
    </xf>
    <xf numFmtId="43" fontId="25" fillId="4" borderId="21" xfId="1" applyFont="1" applyFill="1" applyBorder="1" applyAlignment="1">
      <alignment horizontal="center" vertical="center"/>
    </xf>
    <xf numFmtId="43" fontId="25" fillId="4" borderId="25" xfId="1" applyFont="1" applyFill="1" applyBorder="1" applyAlignment="1">
      <alignment vertical="center"/>
    </xf>
    <xf numFmtId="0" fontId="28" fillId="4" borderId="1" xfId="0" applyFont="1" applyFill="1" applyBorder="1" applyAlignment="1">
      <alignment vertical="center"/>
    </xf>
    <xf numFmtId="0" fontId="28" fillId="4" borderId="33" xfId="0" applyFont="1" applyFill="1" applyBorder="1" applyAlignment="1">
      <alignment horizontal="right" vertical="center"/>
    </xf>
    <xf numFmtId="0" fontId="28" fillId="4" borderId="34" xfId="0" applyFont="1" applyFill="1" applyBorder="1" applyAlignment="1">
      <alignment horizontal="right" vertical="center"/>
    </xf>
    <xf numFmtId="0" fontId="28" fillId="4" borderId="35" xfId="0" applyFont="1" applyFill="1" applyBorder="1" applyAlignment="1">
      <alignment horizontal="right" vertical="center"/>
    </xf>
    <xf numFmtId="0" fontId="27" fillId="4" borderId="36" xfId="0" applyFont="1" applyFill="1" applyBorder="1" applyAlignment="1">
      <alignment vertical="center"/>
    </xf>
    <xf numFmtId="0" fontId="28" fillId="4" borderId="17" xfId="0" applyFont="1" applyFill="1" applyBorder="1" applyAlignment="1">
      <alignment horizontal="center" vertical="center"/>
    </xf>
    <xf numFmtId="0" fontId="27" fillId="4" borderId="22" xfId="0" applyFont="1" applyFill="1" applyBorder="1" applyAlignment="1">
      <alignment horizontal="right" vertical="center"/>
    </xf>
    <xf numFmtId="167" fontId="27" fillId="4" borderId="0" xfId="0" applyNumberFormat="1" applyFont="1" applyFill="1" applyAlignment="1">
      <alignment horizontal="center" vertical="center"/>
    </xf>
    <xf numFmtId="49" fontId="6" fillId="0" borderId="1" xfId="0" applyNumberFormat="1" applyFont="1" applyBorder="1" applyAlignment="1">
      <alignment vertical="center"/>
    </xf>
    <xf numFmtId="49" fontId="11" fillId="3" borderId="4" xfId="0" applyNumberFormat="1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9" fontId="6" fillId="0" borderId="12" xfId="0" quotePrefix="1" applyNumberFormat="1" applyFont="1" applyBorder="1" applyAlignment="1">
      <alignment horizontal="center" vertical="center"/>
    </xf>
    <xf numFmtId="49" fontId="32" fillId="0" borderId="12" xfId="0" quotePrefix="1" applyNumberFormat="1" applyFont="1" applyBorder="1" applyAlignment="1">
      <alignment horizontal="center" vertical="center"/>
    </xf>
    <xf numFmtId="49" fontId="32" fillId="0" borderId="13" xfId="0" quotePrefix="1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0" fontId="28" fillId="4" borderId="20" xfId="0" applyFont="1" applyFill="1" applyBorder="1" applyAlignment="1">
      <alignment vertical="center"/>
    </xf>
    <xf numFmtId="0" fontId="28" fillId="4" borderId="21" xfId="0" applyFont="1" applyFill="1" applyBorder="1" applyAlignment="1">
      <alignment vertical="center"/>
    </xf>
    <xf numFmtId="43" fontId="5" fillId="0" borderId="0" xfId="0" applyNumberFormat="1" applyFont="1" applyAlignment="1">
      <alignment vertical="center"/>
    </xf>
    <xf numFmtId="43" fontId="5" fillId="0" borderId="0" xfId="0" applyNumberFormat="1" applyFont="1" applyAlignment="1">
      <alignment horizontal="center" vertical="center"/>
    </xf>
    <xf numFmtId="49" fontId="6" fillId="0" borderId="16" xfId="0" applyNumberFormat="1" applyFont="1" applyBorder="1" applyAlignment="1">
      <alignment horizontal="left" vertical="center" indent="1"/>
    </xf>
    <xf numFmtId="49" fontId="4" fillId="0" borderId="16" xfId="0" applyNumberFormat="1" applyFont="1" applyBorder="1" applyAlignment="1">
      <alignment horizontal="left" vertical="center" indent="1"/>
    </xf>
    <xf numFmtId="43" fontId="34" fillId="0" borderId="14" xfId="1" applyFont="1" applyFill="1" applyBorder="1" applyAlignment="1">
      <alignment horizontal="center" vertical="center"/>
    </xf>
    <xf numFmtId="43" fontId="34" fillId="0" borderId="16" xfId="1" applyFont="1" applyFill="1" applyBorder="1" applyAlignment="1">
      <alignment horizontal="center" vertical="center"/>
    </xf>
    <xf numFmtId="0" fontId="37" fillId="0" borderId="0" xfId="1" applyNumberFormat="1" applyFont="1" applyFill="1" applyAlignment="1">
      <alignment horizontal="center" vertical="center" wrapText="1"/>
    </xf>
    <xf numFmtId="43" fontId="25" fillId="4" borderId="0" xfId="1" applyFont="1" applyFill="1" applyBorder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0" fontId="27" fillId="4" borderId="0" xfId="0" applyFont="1" applyFill="1" applyAlignment="1">
      <alignment horizontal="left" vertical="center" wrapText="1"/>
    </xf>
    <xf numFmtId="0" fontId="27" fillId="4" borderId="21" xfId="0" applyFont="1" applyFill="1" applyBorder="1" applyAlignment="1">
      <alignment vertical="center"/>
    </xf>
    <xf numFmtId="43" fontId="27" fillId="4" borderId="32" xfId="1" applyFont="1" applyFill="1" applyBorder="1" applyAlignment="1">
      <alignment vertical="center"/>
    </xf>
    <xf numFmtId="43" fontId="27" fillId="4" borderId="35" xfId="1" applyFont="1" applyFill="1" applyBorder="1" applyAlignment="1">
      <alignment vertical="center"/>
    </xf>
    <xf numFmtId="43" fontId="27" fillId="4" borderId="37" xfId="1" applyFont="1" applyFill="1" applyBorder="1" applyAlignment="1">
      <alignment vertical="center"/>
    </xf>
    <xf numFmtId="43" fontId="27" fillId="4" borderId="42" xfId="1" applyFont="1" applyFill="1" applyBorder="1" applyAlignment="1">
      <alignment vertical="center"/>
    </xf>
    <xf numFmtId="0" fontId="28" fillId="4" borderId="0" xfId="0" applyFont="1" applyFill="1" applyAlignment="1">
      <alignment horizontal="center" vertical="center"/>
    </xf>
    <xf numFmtId="0" fontId="28" fillId="4" borderId="18" xfId="0" applyFont="1" applyFill="1" applyBorder="1" applyAlignment="1">
      <alignment horizontal="center" vertical="center"/>
    </xf>
    <xf numFmtId="165" fontId="27" fillId="4" borderId="0" xfId="0" applyNumberFormat="1" applyFont="1" applyFill="1" applyAlignment="1">
      <alignment horizontal="center" vertical="center"/>
    </xf>
    <xf numFmtId="49" fontId="28" fillId="4" borderId="0" xfId="0" applyNumberFormat="1" applyFont="1" applyFill="1" applyAlignment="1">
      <alignment vertical="center"/>
    </xf>
    <xf numFmtId="0" fontId="27" fillId="4" borderId="0" xfId="0" applyFont="1" applyFill="1" applyAlignment="1">
      <alignment horizontal="left" vertical="center"/>
    </xf>
    <xf numFmtId="165" fontId="27" fillId="4" borderId="0" xfId="0" applyNumberFormat="1" applyFont="1" applyFill="1" applyAlignment="1">
      <alignment vertical="center"/>
    </xf>
    <xf numFmtId="49" fontId="27" fillId="4" borderId="0" xfId="0" quotePrefix="1" applyNumberFormat="1" applyFont="1" applyFill="1" applyAlignment="1">
      <alignment vertical="center"/>
    </xf>
    <xf numFmtId="0" fontId="27" fillId="4" borderId="0" xfId="0" quotePrefix="1" applyFont="1" applyFill="1" applyAlignment="1">
      <alignment vertical="center"/>
    </xf>
    <xf numFmtId="0" fontId="28" fillId="4" borderId="17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8" fillId="4" borderId="40" xfId="0" applyFont="1" applyFill="1" applyBorder="1" applyAlignment="1">
      <alignment horizontal="center" vertical="center"/>
    </xf>
    <xf numFmtId="0" fontId="28" fillId="4" borderId="19" xfId="0" applyFont="1" applyFill="1" applyBorder="1" applyAlignment="1">
      <alignment horizontal="center" vertical="center"/>
    </xf>
    <xf numFmtId="0" fontId="28" fillId="4" borderId="20" xfId="0" applyFont="1" applyFill="1" applyBorder="1" applyAlignment="1">
      <alignment horizontal="center" vertical="center"/>
    </xf>
    <xf numFmtId="0" fontId="28" fillId="4" borderId="41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28" fillId="4" borderId="21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0" xfId="0" applyFont="1" applyFill="1" applyBorder="1" applyAlignment="1">
      <alignment horizontal="center" vertical="center"/>
    </xf>
    <xf numFmtId="0" fontId="27" fillId="4" borderId="21" xfId="0" applyFont="1" applyFill="1" applyBorder="1" applyAlignment="1">
      <alignment horizontal="center" vertical="center"/>
    </xf>
    <xf numFmtId="0" fontId="28" fillId="4" borderId="38" xfId="0" applyFont="1" applyFill="1" applyBorder="1" applyAlignment="1">
      <alignment horizontal="right" vertical="center"/>
    </xf>
    <xf numFmtId="0" fontId="28" fillId="4" borderId="39" xfId="0" applyFont="1" applyFill="1" applyBorder="1" applyAlignment="1">
      <alignment horizontal="right" vertical="center"/>
    </xf>
    <xf numFmtId="0" fontId="27" fillId="4" borderId="18" xfId="0" applyFont="1" applyFill="1" applyBorder="1" applyAlignment="1">
      <alignment horizontal="left" vertical="center"/>
    </xf>
    <xf numFmtId="0" fontId="27" fillId="4" borderId="1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5" fillId="4" borderId="24" xfId="0" applyFont="1" applyFill="1" applyBorder="1" applyAlignment="1">
      <alignment horizontal="center" vertical="center"/>
    </xf>
    <xf numFmtId="0" fontId="28" fillId="4" borderId="30" xfId="0" applyFont="1" applyFill="1" applyBorder="1" applyAlignment="1">
      <alignment horizontal="right" vertical="center"/>
    </xf>
    <xf numFmtId="0" fontId="28" fillId="4" borderId="31" xfId="0" applyFont="1" applyFill="1" applyBorder="1" applyAlignment="1">
      <alignment horizontal="right" vertical="center"/>
    </xf>
    <xf numFmtId="0" fontId="28" fillId="4" borderId="32" xfId="0" applyFont="1" applyFill="1" applyBorder="1" applyAlignment="1">
      <alignment horizontal="right" vertical="center"/>
    </xf>
    <xf numFmtId="0" fontId="31" fillId="4" borderId="0" xfId="0" applyFont="1" applyFill="1" applyAlignment="1">
      <alignment horizontal="center" vertical="center"/>
    </xf>
    <xf numFmtId="0" fontId="31" fillId="4" borderId="18" xfId="0" applyFont="1" applyFill="1" applyBorder="1" applyAlignment="1">
      <alignment horizontal="center" vertical="center"/>
    </xf>
    <xf numFmtId="0" fontId="28" fillId="4" borderId="34" xfId="0" applyFont="1" applyFill="1" applyBorder="1" applyAlignment="1">
      <alignment horizontal="right" vertical="center"/>
    </xf>
    <xf numFmtId="0" fontId="28" fillId="4" borderId="37" xfId="0" applyFont="1" applyFill="1" applyBorder="1" applyAlignment="1">
      <alignment horizontal="right" vertical="center"/>
    </xf>
    <xf numFmtId="0" fontId="27" fillId="4" borderId="17" xfId="0" applyFont="1" applyFill="1" applyBorder="1" applyAlignment="1">
      <alignment horizontal="left" vertical="center"/>
    </xf>
    <xf numFmtId="49" fontId="3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center" vertical="center"/>
    </xf>
  </cellXfs>
  <cellStyles count="4">
    <cellStyle name="Comma" xfId="1" builtinId="3"/>
    <cellStyle name="Comma 2" xfId="3" xr:uid="{A8DEEC2B-5CF8-47B7-B92E-2084C934E523}"/>
    <cellStyle name="Normal" xfId="0" builtinId="0"/>
    <cellStyle name="Normal 2" xfId="2" xr:uid="{50660DC1-A62B-4CA9-A442-15C59E420229}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57150</xdr:rowOff>
    </xdr:from>
    <xdr:to>
      <xdr:col>1</xdr:col>
      <xdr:colOff>1781175</xdr:colOff>
      <xdr:row>2</xdr:row>
      <xdr:rowOff>95250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F2DC743F-FA2B-40B0-B15F-B679FF830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57150"/>
          <a:ext cx="24479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1192530</xdr:colOff>
      <xdr:row>4</xdr:row>
      <xdr:rowOff>144780</xdr:rowOff>
    </xdr:from>
    <xdr:to>
      <xdr:col>8</xdr:col>
      <xdr:colOff>885075</xdr:colOff>
      <xdr:row>6</xdr:row>
      <xdr:rowOff>144780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E55D96-894E-473F-9E8D-9922F7AAC5D4}"/>
            </a:ext>
          </a:extLst>
        </xdr:cNvPr>
        <xdr:cNvSpPr txBox="1"/>
      </xdr:nvSpPr>
      <xdr:spPr>
        <a:xfrm>
          <a:off x="12793980" y="1059180"/>
          <a:ext cx="2111895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2400">
              <a:latin typeface="Arial Rounded MT Bold" pitchFamily="34" charset="0"/>
            </a:rPr>
            <a:t>Quotation</a:t>
          </a:r>
          <a:endParaRPr lang="th-TH" sz="2400">
            <a:latin typeface="Arial Rounded MT Bold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617123</xdr:colOff>
      <xdr:row>0</xdr:row>
      <xdr:rowOff>61664</xdr:rowOff>
    </xdr:from>
    <xdr:to>
      <xdr:col>3</xdr:col>
      <xdr:colOff>1782537</xdr:colOff>
      <xdr:row>0</xdr:row>
      <xdr:rowOff>355622</xdr:rowOff>
    </xdr:to>
    <xdr:pic>
      <xdr:nvPicPr>
        <xdr:cNvPr id="2" name="Picture 4765" descr="หัวบริษัท copy">
          <a:extLst>
            <a:ext uri="{FF2B5EF4-FFF2-40B4-BE49-F238E27FC236}">
              <a16:creationId xmlns:a16="http://schemas.microsoft.com/office/drawing/2014/main" id="{71F1C2C6-8CA7-4BFA-A857-64D0EE5DB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3577" t="40230" r="65634" b="35413"/>
        <a:stretch>
          <a:fillRect/>
        </a:stretch>
      </xdr:blipFill>
      <xdr:spPr bwMode="auto">
        <a:xfrm>
          <a:off x="3801194" y="61664"/>
          <a:ext cx="1165414" cy="29395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E10AE-7D96-44B5-84F4-820740C747C8}">
  <sheetPr>
    <tabColor rgb="FFFFFF00"/>
    <pageSetUpPr fitToPage="1"/>
  </sheetPr>
  <dimension ref="A1:AB65"/>
  <sheetViews>
    <sheetView tabSelected="1" topLeftCell="A47" zoomScale="70" zoomScaleNormal="70" zoomScaleSheetLayoutView="85" workbookViewId="0">
      <selection activeCell="D85" sqref="D85"/>
    </sheetView>
  </sheetViews>
  <sheetFormatPr defaultRowHeight="18" customHeight="1"/>
  <cols>
    <col min="1" max="1" width="9.7109375" style="49" customWidth="1"/>
    <col min="2" max="2" width="48.28515625" style="49" customWidth="1"/>
    <col min="3" max="3" width="55.28515625" style="49" customWidth="1"/>
    <col min="4" max="6" width="13" style="49" customWidth="1"/>
    <col min="7" max="9" width="15.85546875" style="49" customWidth="1"/>
    <col min="10" max="10" width="24.28515625" style="49" customWidth="1"/>
    <col min="11" max="18" width="9" style="41"/>
    <col min="19" max="19" width="11" style="41" bestFit="1" customWidth="1"/>
    <col min="20" max="20" width="9.28515625" style="41" bestFit="1" customWidth="1"/>
    <col min="21" max="21" width="9" style="41"/>
    <col min="22" max="24" width="9" style="42"/>
    <col min="25" max="28" width="9" style="39"/>
    <col min="29" max="256" width="9" style="49"/>
    <col min="257" max="257" width="9.7109375" style="49" customWidth="1"/>
    <col min="258" max="258" width="48.28515625" style="49" customWidth="1"/>
    <col min="259" max="259" width="55.28515625" style="49" customWidth="1"/>
    <col min="260" max="262" width="13" style="49" customWidth="1"/>
    <col min="263" max="265" width="15.85546875" style="49" customWidth="1"/>
    <col min="266" max="266" width="24.28515625" style="49" customWidth="1"/>
    <col min="267" max="274" width="9" style="49"/>
    <col min="275" max="275" width="11" style="49" bestFit="1" customWidth="1"/>
    <col min="276" max="276" width="9.28515625" style="49" bestFit="1" customWidth="1"/>
    <col min="277" max="512" width="9" style="49"/>
    <col min="513" max="513" width="9.7109375" style="49" customWidth="1"/>
    <col min="514" max="514" width="48.28515625" style="49" customWidth="1"/>
    <col min="515" max="515" width="55.28515625" style="49" customWidth="1"/>
    <col min="516" max="518" width="13" style="49" customWidth="1"/>
    <col min="519" max="521" width="15.85546875" style="49" customWidth="1"/>
    <col min="522" max="522" width="24.28515625" style="49" customWidth="1"/>
    <col min="523" max="530" width="9" style="49"/>
    <col min="531" max="531" width="11" style="49" bestFit="1" customWidth="1"/>
    <col min="532" max="532" width="9.28515625" style="49" bestFit="1" customWidth="1"/>
    <col min="533" max="768" width="9" style="49"/>
    <col min="769" max="769" width="9.7109375" style="49" customWidth="1"/>
    <col min="770" max="770" width="48.28515625" style="49" customWidth="1"/>
    <col min="771" max="771" width="55.28515625" style="49" customWidth="1"/>
    <col min="772" max="774" width="13" style="49" customWidth="1"/>
    <col min="775" max="777" width="15.85546875" style="49" customWidth="1"/>
    <col min="778" max="778" width="24.28515625" style="49" customWidth="1"/>
    <col min="779" max="786" width="9" style="49"/>
    <col min="787" max="787" width="11" style="49" bestFit="1" customWidth="1"/>
    <col min="788" max="788" width="9.28515625" style="49" bestFit="1" customWidth="1"/>
    <col min="789" max="1024" width="9" style="49"/>
    <col min="1025" max="1025" width="9.7109375" style="49" customWidth="1"/>
    <col min="1026" max="1026" width="48.28515625" style="49" customWidth="1"/>
    <col min="1027" max="1027" width="55.28515625" style="49" customWidth="1"/>
    <col min="1028" max="1030" width="13" style="49" customWidth="1"/>
    <col min="1031" max="1033" width="15.85546875" style="49" customWidth="1"/>
    <col min="1034" max="1034" width="24.28515625" style="49" customWidth="1"/>
    <col min="1035" max="1042" width="9" style="49"/>
    <col min="1043" max="1043" width="11" style="49" bestFit="1" customWidth="1"/>
    <col min="1044" max="1044" width="9.28515625" style="49" bestFit="1" customWidth="1"/>
    <col min="1045" max="1280" width="9" style="49"/>
    <col min="1281" max="1281" width="9.7109375" style="49" customWidth="1"/>
    <col min="1282" max="1282" width="48.28515625" style="49" customWidth="1"/>
    <col min="1283" max="1283" width="55.28515625" style="49" customWidth="1"/>
    <col min="1284" max="1286" width="13" style="49" customWidth="1"/>
    <col min="1287" max="1289" width="15.85546875" style="49" customWidth="1"/>
    <col min="1290" max="1290" width="24.28515625" style="49" customWidth="1"/>
    <col min="1291" max="1298" width="9" style="49"/>
    <col min="1299" max="1299" width="11" style="49" bestFit="1" customWidth="1"/>
    <col min="1300" max="1300" width="9.28515625" style="49" bestFit="1" customWidth="1"/>
    <col min="1301" max="1536" width="9" style="49"/>
    <col min="1537" max="1537" width="9.7109375" style="49" customWidth="1"/>
    <col min="1538" max="1538" width="48.28515625" style="49" customWidth="1"/>
    <col min="1539" max="1539" width="55.28515625" style="49" customWidth="1"/>
    <col min="1540" max="1542" width="13" style="49" customWidth="1"/>
    <col min="1543" max="1545" width="15.85546875" style="49" customWidth="1"/>
    <col min="1546" max="1546" width="24.28515625" style="49" customWidth="1"/>
    <col min="1547" max="1554" width="9" style="49"/>
    <col min="1555" max="1555" width="11" style="49" bestFit="1" customWidth="1"/>
    <col min="1556" max="1556" width="9.28515625" style="49" bestFit="1" customWidth="1"/>
    <col min="1557" max="1792" width="9" style="49"/>
    <col min="1793" max="1793" width="9.7109375" style="49" customWidth="1"/>
    <col min="1794" max="1794" width="48.28515625" style="49" customWidth="1"/>
    <col min="1795" max="1795" width="55.28515625" style="49" customWidth="1"/>
    <col min="1796" max="1798" width="13" style="49" customWidth="1"/>
    <col min="1799" max="1801" width="15.85546875" style="49" customWidth="1"/>
    <col min="1802" max="1802" width="24.28515625" style="49" customWidth="1"/>
    <col min="1803" max="1810" width="9" style="49"/>
    <col min="1811" max="1811" width="11" style="49" bestFit="1" customWidth="1"/>
    <col min="1812" max="1812" width="9.28515625" style="49" bestFit="1" customWidth="1"/>
    <col min="1813" max="2048" width="9" style="49"/>
    <col min="2049" max="2049" width="9.7109375" style="49" customWidth="1"/>
    <col min="2050" max="2050" width="48.28515625" style="49" customWidth="1"/>
    <col min="2051" max="2051" width="55.28515625" style="49" customWidth="1"/>
    <col min="2052" max="2054" width="13" style="49" customWidth="1"/>
    <col min="2055" max="2057" width="15.85546875" style="49" customWidth="1"/>
    <col min="2058" max="2058" width="24.28515625" style="49" customWidth="1"/>
    <col min="2059" max="2066" width="9" style="49"/>
    <col min="2067" max="2067" width="11" style="49" bestFit="1" customWidth="1"/>
    <col min="2068" max="2068" width="9.28515625" style="49" bestFit="1" customWidth="1"/>
    <col min="2069" max="2304" width="9" style="49"/>
    <col min="2305" max="2305" width="9.7109375" style="49" customWidth="1"/>
    <col min="2306" max="2306" width="48.28515625" style="49" customWidth="1"/>
    <col min="2307" max="2307" width="55.28515625" style="49" customWidth="1"/>
    <col min="2308" max="2310" width="13" style="49" customWidth="1"/>
    <col min="2311" max="2313" width="15.85546875" style="49" customWidth="1"/>
    <col min="2314" max="2314" width="24.28515625" style="49" customWidth="1"/>
    <col min="2315" max="2322" width="9" style="49"/>
    <col min="2323" max="2323" width="11" style="49" bestFit="1" customWidth="1"/>
    <col min="2324" max="2324" width="9.28515625" style="49" bestFit="1" customWidth="1"/>
    <col min="2325" max="2560" width="9" style="49"/>
    <col min="2561" max="2561" width="9.7109375" style="49" customWidth="1"/>
    <col min="2562" max="2562" width="48.28515625" style="49" customWidth="1"/>
    <col min="2563" max="2563" width="55.28515625" style="49" customWidth="1"/>
    <col min="2564" max="2566" width="13" style="49" customWidth="1"/>
    <col min="2567" max="2569" width="15.85546875" style="49" customWidth="1"/>
    <col min="2570" max="2570" width="24.28515625" style="49" customWidth="1"/>
    <col min="2571" max="2578" width="9" style="49"/>
    <col min="2579" max="2579" width="11" style="49" bestFit="1" customWidth="1"/>
    <col min="2580" max="2580" width="9.28515625" style="49" bestFit="1" customWidth="1"/>
    <col min="2581" max="2816" width="9" style="49"/>
    <col min="2817" max="2817" width="9.7109375" style="49" customWidth="1"/>
    <col min="2818" max="2818" width="48.28515625" style="49" customWidth="1"/>
    <col min="2819" max="2819" width="55.28515625" style="49" customWidth="1"/>
    <col min="2820" max="2822" width="13" style="49" customWidth="1"/>
    <col min="2823" max="2825" width="15.85546875" style="49" customWidth="1"/>
    <col min="2826" max="2826" width="24.28515625" style="49" customWidth="1"/>
    <col min="2827" max="2834" width="9" style="49"/>
    <col min="2835" max="2835" width="11" style="49" bestFit="1" customWidth="1"/>
    <col min="2836" max="2836" width="9.28515625" style="49" bestFit="1" customWidth="1"/>
    <col min="2837" max="3072" width="9" style="49"/>
    <col min="3073" max="3073" width="9.7109375" style="49" customWidth="1"/>
    <col min="3074" max="3074" width="48.28515625" style="49" customWidth="1"/>
    <col min="3075" max="3075" width="55.28515625" style="49" customWidth="1"/>
    <col min="3076" max="3078" width="13" style="49" customWidth="1"/>
    <col min="3079" max="3081" width="15.85546875" style="49" customWidth="1"/>
    <col min="3082" max="3082" width="24.28515625" style="49" customWidth="1"/>
    <col min="3083" max="3090" width="9" style="49"/>
    <col min="3091" max="3091" width="11" style="49" bestFit="1" customWidth="1"/>
    <col min="3092" max="3092" width="9.28515625" style="49" bestFit="1" customWidth="1"/>
    <col min="3093" max="3328" width="9" style="49"/>
    <col min="3329" max="3329" width="9.7109375" style="49" customWidth="1"/>
    <col min="3330" max="3330" width="48.28515625" style="49" customWidth="1"/>
    <col min="3331" max="3331" width="55.28515625" style="49" customWidth="1"/>
    <col min="3332" max="3334" width="13" style="49" customWidth="1"/>
    <col min="3335" max="3337" width="15.85546875" style="49" customWidth="1"/>
    <col min="3338" max="3338" width="24.28515625" style="49" customWidth="1"/>
    <col min="3339" max="3346" width="9" style="49"/>
    <col min="3347" max="3347" width="11" style="49" bestFit="1" customWidth="1"/>
    <col min="3348" max="3348" width="9.28515625" style="49" bestFit="1" customWidth="1"/>
    <col min="3349" max="3584" width="9" style="49"/>
    <col min="3585" max="3585" width="9.7109375" style="49" customWidth="1"/>
    <col min="3586" max="3586" width="48.28515625" style="49" customWidth="1"/>
    <col min="3587" max="3587" width="55.28515625" style="49" customWidth="1"/>
    <col min="3588" max="3590" width="13" style="49" customWidth="1"/>
    <col min="3591" max="3593" width="15.85546875" style="49" customWidth="1"/>
    <col min="3594" max="3594" width="24.28515625" style="49" customWidth="1"/>
    <col min="3595" max="3602" width="9" style="49"/>
    <col min="3603" max="3603" width="11" style="49" bestFit="1" customWidth="1"/>
    <col min="3604" max="3604" width="9.28515625" style="49" bestFit="1" customWidth="1"/>
    <col min="3605" max="3840" width="9" style="49"/>
    <col min="3841" max="3841" width="9.7109375" style="49" customWidth="1"/>
    <col min="3842" max="3842" width="48.28515625" style="49" customWidth="1"/>
    <col min="3843" max="3843" width="55.28515625" style="49" customWidth="1"/>
    <col min="3844" max="3846" width="13" style="49" customWidth="1"/>
    <col min="3847" max="3849" width="15.85546875" style="49" customWidth="1"/>
    <col min="3850" max="3850" width="24.28515625" style="49" customWidth="1"/>
    <col min="3851" max="3858" width="9" style="49"/>
    <col min="3859" max="3859" width="11" style="49" bestFit="1" customWidth="1"/>
    <col min="3860" max="3860" width="9.28515625" style="49" bestFit="1" customWidth="1"/>
    <col min="3861" max="4096" width="9" style="49"/>
    <col min="4097" max="4097" width="9.7109375" style="49" customWidth="1"/>
    <col min="4098" max="4098" width="48.28515625" style="49" customWidth="1"/>
    <col min="4099" max="4099" width="55.28515625" style="49" customWidth="1"/>
    <col min="4100" max="4102" width="13" style="49" customWidth="1"/>
    <col min="4103" max="4105" width="15.85546875" style="49" customWidth="1"/>
    <col min="4106" max="4106" width="24.28515625" style="49" customWidth="1"/>
    <col min="4107" max="4114" width="9" style="49"/>
    <col min="4115" max="4115" width="11" style="49" bestFit="1" customWidth="1"/>
    <col min="4116" max="4116" width="9.28515625" style="49" bestFit="1" customWidth="1"/>
    <col min="4117" max="4352" width="9" style="49"/>
    <col min="4353" max="4353" width="9.7109375" style="49" customWidth="1"/>
    <col min="4354" max="4354" width="48.28515625" style="49" customWidth="1"/>
    <col min="4355" max="4355" width="55.28515625" style="49" customWidth="1"/>
    <col min="4356" max="4358" width="13" style="49" customWidth="1"/>
    <col min="4359" max="4361" width="15.85546875" style="49" customWidth="1"/>
    <col min="4362" max="4362" width="24.28515625" style="49" customWidth="1"/>
    <col min="4363" max="4370" width="9" style="49"/>
    <col min="4371" max="4371" width="11" style="49" bestFit="1" customWidth="1"/>
    <col min="4372" max="4372" width="9.28515625" style="49" bestFit="1" customWidth="1"/>
    <col min="4373" max="4608" width="9" style="49"/>
    <col min="4609" max="4609" width="9.7109375" style="49" customWidth="1"/>
    <col min="4610" max="4610" width="48.28515625" style="49" customWidth="1"/>
    <col min="4611" max="4611" width="55.28515625" style="49" customWidth="1"/>
    <col min="4612" max="4614" width="13" style="49" customWidth="1"/>
    <col min="4615" max="4617" width="15.85546875" style="49" customWidth="1"/>
    <col min="4618" max="4618" width="24.28515625" style="49" customWidth="1"/>
    <col min="4619" max="4626" width="9" style="49"/>
    <col min="4627" max="4627" width="11" style="49" bestFit="1" customWidth="1"/>
    <col min="4628" max="4628" width="9.28515625" style="49" bestFit="1" customWidth="1"/>
    <col min="4629" max="4864" width="9" style="49"/>
    <col min="4865" max="4865" width="9.7109375" style="49" customWidth="1"/>
    <col min="4866" max="4866" width="48.28515625" style="49" customWidth="1"/>
    <col min="4867" max="4867" width="55.28515625" style="49" customWidth="1"/>
    <col min="4868" max="4870" width="13" style="49" customWidth="1"/>
    <col min="4871" max="4873" width="15.85546875" style="49" customWidth="1"/>
    <col min="4874" max="4874" width="24.28515625" style="49" customWidth="1"/>
    <col min="4875" max="4882" width="9" style="49"/>
    <col min="4883" max="4883" width="11" style="49" bestFit="1" customWidth="1"/>
    <col min="4884" max="4884" width="9.28515625" style="49" bestFit="1" customWidth="1"/>
    <col min="4885" max="5120" width="9" style="49"/>
    <col min="5121" max="5121" width="9.7109375" style="49" customWidth="1"/>
    <col min="5122" max="5122" width="48.28515625" style="49" customWidth="1"/>
    <col min="5123" max="5123" width="55.28515625" style="49" customWidth="1"/>
    <col min="5124" max="5126" width="13" style="49" customWidth="1"/>
    <col min="5127" max="5129" width="15.85546875" style="49" customWidth="1"/>
    <col min="5130" max="5130" width="24.28515625" style="49" customWidth="1"/>
    <col min="5131" max="5138" width="9" style="49"/>
    <col min="5139" max="5139" width="11" style="49" bestFit="1" customWidth="1"/>
    <col min="5140" max="5140" width="9.28515625" style="49" bestFit="1" customWidth="1"/>
    <col min="5141" max="5376" width="9" style="49"/>
    <col min="5377" max="5377" width="9.7109375" style="49" customWidth="1"/>
    <col min="5378" max="5378" width="48.28515625" style="49" customWidth="1"/>
    <col min="5379" max="5379" width="55.28515625" style="49" customWidth="1"/>
    <col min="5380" max="5382" width="13" style="49" customWidth="1"/>
    <col min="5383" max="5385" width="15.85546875" style="49" customWidth="1"/>
    <col min="5386" max="5386" width="24.28515625" style="49" customWidth="1"/>
    <col min="5387" max="5394" width="9" style="49"/>
    <col min="5395" max="5395" width="11" style="49" bestFit="1" customWidth="1"/>
    <col min="5396" max="5396" width="9.28515625" style="49" bestFit="1" customWidth="1"/>
    <col min="5397" max="5632" width="9" style="49"/>
    <col min="5633" max="5633" width="9.7109375" style="49" customWidth="1"/>
    <col min="5634" max="5634" width="48.28515625" style="49" customWidth="1"/>
    <col min="5635" max="5635" width="55.28515625" style="49" customWidth="1"/>
    <col min="5636" max="5638" width="13" style="49" customWidth="1"/>
    <col min="5639" max="5641" width="15.85546875" style="49" customWidth="1"/>
    <col min="5642" max="5642" width="24.28515625" style="49" customWidth="1"/>
    <col min="5643" max="5650" width="9" style="49"/>
    <col min="5651" max="5651" width="11" style="49" bestFit="1" customWidth="1"/>
    <col min="5652" max="5652" width="9.28515625" style="49" bestFit="1" customWidth="1"/>
    <col min="5653" max="5888" width="9" style="49"/>
    <col min="5889" max="5889" width="9.7109375" style="49" customWidth="1"/>
    <col min="5890" max="5890" width="48.28515625" style="49" customWidth="1"/>
    <col min="5891" max="5891" width="55.28515625" style="49" customWidth="1"/>
    <col min="5892" max="5894" width="13" style="49" customWidth="1"/>
    <col min="5895" max="5897" width="15.85546875" style="49" customWidth="1"/>
    <col min="5898" max="5898" width="24.28515625" style="49" customWidth="1"/>
    <col min="5899" max="5906" width="9" style="49"/>
    <col min="5907" max="5907" width="11" style="49" bestFit="1" customWidth="1"/>
    <col min="5908" max="5908" width="9.28515625" style="49" bestFit="1" customWidth="1"/>
    <col min="5909" max="6144" width="9" style="49"/>
    <col min="6145" max="6145" width="9.7109375" style="49" customWidth="1"/>
    <col min="6146" max="6146" width="48.28515625" style="49" customWidth="1"/>
    <col min="6147" max="6147" width="55.28515625" style="49" customWidth="1"/>
    <col min="6148" max="6150" width="13" style="49" customWidth="1"/>
    <col min="6151" max="6153" width="15.85546875" style="49" customWidth="1"/>
    <col min="6154" max="6154" width="24.28515625" style="49" customWidth="1"/>
    <col min="6155" max="6162" width="9" style="49"/>
    <col min="6163" max="6163" width="11" style="49" bestFit="1" customWidth="1"/>
    <col min="6164" max="6164" width="9.28515625" style="49" bestFit="1" customWidth="1"/>
    <col min="6165" max="6400" width="9" style="49"/>
    <col min="6401" max="6401" width="9.7109375" style="49" customWidth="1"/>
    <col min="6402" max="6402" width="48.28515625" style="49" customWidth="1"/>
    <col min="6403" max="6403" width="55.28515625" style="49" customWidth="1"/>
    <col min="6404" max="6406" width="13" style="49" customWidth="1"/>
    <col min="6407" max="6409" width="15.85546875" style="49" customWidth="1"/>
    <col min="6410" max="6410" width="24.28515625" style="49" customWidth="1"/>
    <col min="6411" max="6418" width="9" style="49"/>
    <col min="6419" max="6419" width="11" style="49" bestFit="1" customWidth="1"/>
    <col min="6420" max="6420" width="9.28515625" style="49" bestFit="1" customWidth="1"/>
    <col min="6421" max="6656" width="9" style="49"/>
    <col min="6657" max="6657" width="9.7109375" style="49" customWidth="1"/>
    <col min="6658" max="6658" width="48.28515625" style="49" customWidth="1"/>
    <col min="6659" max="6659" width="55.28515625" style="49" customWidth="1"/>
    <col min="6660" max="6662" width="13" style="49" customWidth="1"/>
    <col min="6663" max="6665" width="15.85546875" style="49" customWidth="1"/>
    <col min="6666" max="6666" width="24.28515625" style="49" customWidth="1"/>
    <col min="6667" max="6674" width="9" style="49"/>
    <col min="6675" max="6675" width="11" style="49" bestFit="1" customWidth="1"/>
    <col min="6676" max="6676" width="9.28515625" style="49" bestFit="1" customWidth="1"/>
    <col min="6677" max="6912" width="9" style="49"/>
    <col min="6913" max="6913" width="9.7109375" style="49" customWidth="1"/>
    <col min="6914" max="6914" width="48.28515625" style="49" customWidth="1"/>
    <col min="6915" max="6915" width="55.28515625" style="49" customWidth="1"/>
    <col min="6916" max="6918" width="13" style="49" customWidth="1"/>
    <col min="6919" max="6921" width="15.85546875" style="49" customWidth="1"/>
    <col min="6922" max="6922" width="24.28515625" style="49" customWidth="1"/>
    <col min="6923" max="6930" width="9" style="49"/>
    <col min="6931" max="6931" width="11" style="49" bestFit="1" customWidth="1"/>
    <col min="6932" max="6932" width="9.28515625" style="49" bestFit="1" customWidth="1"/>
    <col min="6933" max="7168" width="9" style="49"/>
    <col min="7169" max="7169" width="9.7109375" style="49" customWidth="1"/>
    <col min="7170" max="7170" width="48.28515625" style="49" customWidth="1"/>
    <col min="7171" max="7171" width="55.28515625" style="49" customWidth="1"/>
    <col min="7172" max="7174" width="13" style="49" customWidth="1"/>
    <col min="7175" max="7177" width="15.85546875" style="49" customWidth="1"/>
    <col min="7178" max="7178" width="24.28515625" style="49" customWidth="1"/>
    <col min="7179" max="7186" width="9" style="49"/>
    <col min="7187" max="7187" width="11" style="49" bestFit="1" customWidth="1"/>
    <col min="7188" max="7188" width="9.28515625" style="49" bestFit="1" customWidth="1"/>
    <col min="7189" max="7424" width="9" style="49"/>
    <col min="7425" max="7425" width="9.7109375" style="49" customWidth="1"/>
    <col min="7426" max="7426" width="48.28515625" style="49" customWidth="1"/>
    <col min="7427" max="7427" width="55.28515625" style="49" customWidth="1"/>
    <col min="7428" max="7430" width="13" style="49" customWidth="1"/>
    <col min="7431" max="7433" width="15.85546875" style="49" customWidth="1"/>
    <col min="7434" max="7434" width="24.28515625" style="49" customWidth="1"/>
    <col min="7435" max="7442" width="9" style="49"/>
    <col min="7443" max="7443" width="11" style="49" bestFit="1" customWidth="1"/>
    <col min="7444" max="7444" width="9.28515625" style="49" bestFit="1" customWidth="1"/>
    <col min="7445" max="7680" width="9" style="49"/>
    <col min="7681" max="7681" width="9.7109375" style="49" customWidth="1"/>
    <col min="7682" max="7682" width="48.28515625" style="49" customWidth="1"/>
    <col min="7683" max="7683" width="55.28515625" style="49" customWidth="1"/>
    <col min="7684" max="7686" width="13" style="49" customWidth="1"/>
    <col min="7687" max="7689" width="15.85546875" style="49" customWidth="1"/>
    <col min="7690" max="7690" width="24.28515625" style="49" customWidth="1"/>
    <col min="7691" max="7698" width="9" style="49"/>
    <col min="7699" max="7699" width="11" style="49" bestFit="1" customWidth="1"/>
    <col min="7700" max="7700" width="9.28515625" style="49" bestFit="1" customWidth="1"/>
    <col min="7701" max="7936" width="9" style="49"/>
    <col min="7937" max="7937" width="9.7109375" style="49" customWidth="1"/>
    <col min="7938" max="7938" width="48.28515625" style="49" customWidth="1"/>
    <col min="7939" max="7939" width="55.28515625" style="49" customWidth="1"/>
    <col min="7940" max="7942" width="13" style="49" customWidth="1"/>
    <col min="7943" max="7945" width="15.85546875" style="49" customWidth="1"/>
    <col min="7946" max="7946" width="24.28515625" style="49" customWidth="1"/>
    <col min="7947" max="7954" width="9" style="49"/>
    <col min="7955" max="7955" width="11" style="49" bestFit="1" customWidth="1"/>
    <col min="7956" max="7956" width="9.28515625" style="49" bestFit="1" customWidth="1"/>
    <col min="7957" max="8192" width="9" style="49"/>
    <col min="8193" max="8193" width="9.7109375" style="49" customWidth="1"/>
    <col min="8194" max="8194" width="48.28515625" style="49" customWidth="1"/>
    <col min="8195" max="8195" width="55.28515625" style="49" customWidth="1"/>
    <col min="8196" max="8198" width="13" style="49" customWidth="1"/>
    <col min="8199" max="8201" width="15.85546875" style="49" customWidth="1"/>
    <col min="8202" max="8202" width="24.28515625" style="49" customWidth="1"/>
    <col min="8203" max="8210" width="9" style="49"/>
    <col min="8211" max="8211" width="11" style="49" bestFit="1" customWidth="1"/>
    <col min="8212" max="8212" width="9.28515625" style="49" bestFit="1" customWidth="1"/>
    <col min="8213" max="8448" width="9" style="49"/>
    <col min="8449" max="8449" width="9.7109375" style="49" customWidth="1"/>
    <col min="8450" max="8450" width="48.28515625" style="49" customWidth="1"/>
    <col min="8451" max="8451" width="55.28515625" style="49" customWidth="1"/>
    <col min="8452" max="8454" width="13" style="49" customWidth="1"/>
    <col min="8455" max="8457" width="15.85546875" style="49" customWidth="1"/>
    <col min="8458" max="8458" width="24.28515625" style="49" customWidth="1"/>
    <col min="8459" max="8466" width="9" style="49"/>
    <col min="8467" max="8467" width="11" style="49" bestFit="1" customWidth="1"/>
    <col min="8468" max="8468" width="9.28515625" style="49" bestFit="1" customWidth="1"/>
    <col min="8469" max="8704" width="9" style="49"/>
    <col min="8705" max="8705" width="9.7109375" style="49" customWidth="1"/>
    <col min="8706" max="8706" width="48.28515625" style="49" customWidth="1"/>
    <col min="8707" max="8707" width="55.28515625" style="49" customWidth="1"/>
    <col min="8708" max="8710" width="13" style="49" customWidth="1"/>
    <col min="8711" max="8713" width="15.85546875" style="49" customWidth="1"/>
    <col min="8714" max="8714" width="24.28515625" style="49" customWidth="1"/>
    <col min="8715" max="8722" width="9" style="49"/>
    <col min="8723" max="8723" width="11" style="49" bestFit="1" customWidth="1"/>
    <col min="8724" max="8724" width="9.28515625" style="49" bestFit="1" customWidth="1"/>
    <col min="8725" max="8960" width="9" style="49"/>
    <col min="8961" max="8961" width="9.7109375" style="49" customWidth="1"/>
    <col min="8962" max="8962" width="48.28515625" style="49" customWidth="1"/>
    <col min="8963" max="8963" width="55.28515625" style="49" customWidth="1"/>
    <col min="8964" max="8966" width="13" style="49" customWidth="1"/>
    <col min="8967" max="8969" width="15.85546875" style="49" customWidth="1"/>
    <col min="8970" max="8970" width="24.28515625" style="49" customWidth="1"/>
    <col min="8971" max="8978" width="9" style="49"/>
    <col min="8979" max="8979" width="11" style="49" bestFit="1" customWidth="1"/>
    <col min="8980" max="8980" width="9.28515625" style="49" bestFit="1" customWidth="1"/>
    <col min="8981" max="9216" width="9" style="49"/>
    <col min="9217" max="9217" width="9.7109375" style="49" customWidth="1"/>
    <col min="9218" max="9218" width="48.28515625" style="49" customWidth="1"/>
    <col min="9219" max="9219" width="55.28515625" style="49" customWidth="1"/>
    <col min="9220" max="9222" width="13" style="49" customWidth="1"/>
    <col min="9223" max="9225" width="15.85546875" style="49" customWidth="1"/>
    <col min="9226" max="9226" width="24.28515625" style="49" customWidth="1"/>
    <col min="9227" max="9234" width="9" style="49"/>
    <col min="9235" max="9235" width="11" style="49" bestFit="1" customWidth="1"/>
    <col min="9236" max="9236" width="9.28515625" style="49" bestFit="1" customWidth="1"/>
    <col min="9237" max="9472" width="9" style="49"/>
    <col min="9473" max="9473" width="9.7109375" style="49" customWidth="1"/>
    <col min="9474" max="9474" width="48.28515625" style="49" customWidth="1"/>
    <col min="9475" max="9475" width="55.28515625" style="49" customWidth="1"/>
    <col min="9476" max="9478" width="13" style="49" customWidth="1"/>
    <col min="9479" max="9481" width="15.85546875" style="49" customWidth="1"/>
    <col min="9482" max="9482" width="24.28515625" style="49" customWidth="1"/>
    <col min="9483" max="9490" width="9" style="49"/>
    <col min="9491" max="9491" width="11" style="49" bestFit="1" customWidth="1"/>
    <col min="9492" max="9492" width="9.28515625" style="49" bestFit="1" customWidth="1"/>
    <col min="9493" max="9728" width="9" style="49"/>
    <col min="9729" max="9729" width="9.7109375" style="49" customWidth="1"/>
    <col min="9730" max="9730" width="48.28515625" style="49" customWidth="1"/>
    <col min="9731" max="9731" width="55.28515625" style="49" customWidth="1"/>
    <col min="9732" max="9734" width="13" style="49" customWidth="1"/>
    <col min="9735" max="9737" width="15.85546875" style="49" customWidth="1"/>
    <col min="9738" max="9738" width="24.28515625" style="49" customWidth="1"/>
    <col min="9739" max="9746" width="9" style="49"/>
    <col min="9747" max="9747" width="11" style="49" bestFit="1" customWidth="1"/>
    <col min="9748" max="9748" width="9.28515625" style="49" bestFit="1" customWidth="1"/>
    <col min="9749" max="9984" width="9" style="49"/>
    <col min="9985" max="9985" width="9.7109375" style="49" customWidth="1"/>
    <col min="9986" max="9986" width="48.28515625" style="49" customWidth="1"/>
    <col min="9987" max="9987" width="55.28515625" style="49" customWidth="1"/>
    <col min="9988" max="9990" width="13" style="49" customWidth="1"/>
    <col min="9991" max="9993" width="15.85546875" style="49" customWidth="1"/>
    <col min="9994" max="9994" width="24.28515625" style="49" customWidth="1"/>
    <col min="9995" max="10002" width="9" style="49"/>
    <col min="10003" max="10003" width="11" style="49" bestFit="1" customWidth="1"/>
    <col min="10004" max="10004" width="9.28515625" style="49" bestFit="1" customWidth="1"/>
    <col min="10005" max="10240" width="9" style="49"/>
    <col min="10241" max="10241" width="9.7109375" style="49" customWidth="1"/>
    <col min="10242" max="10242" width="48.28515625" style="49" customWidth="1"/>
    <col min="10243" max="10243" width="55.28515625" style="49" customWidth="1"/>
    <col min="10244" max="10246" width="13" style="49" customWidth="1"/>
    <col min="10247" max="10249" width="15.85546875" style="49" customWidth="1"/>
    <col min="10250" max="10250" width="24.28515625" style="49" customWidth="1"/>
    <col min="10251" max="10258" width="9" style="49"/>
    <col min="10259" max="10259" width="11" style="49" bestFit="1" customWidth="1"/>
    <col min="10260" max="10260" width="9.28515625" style="49" bestFit="1" customWidth="1"/>
    <col min="10261" max="10496" width="9" style="49"/>
    <col min="10497" max="10497" width="9.7109375" style="49" customWidth="1"/>
    <col min="10498" max="10498" width="48.28515625" style="49" customWidth="1"/>
    <col min="10499" max="10499" width="55.28515625" style="49" customWidth="1"/>
    <col min="10500" max="10502" width="13" style="49" customWidth="1"/>
    <col min="10503" max="10505" width="15.85546875" style="49" customWidth="1"/>
    <col min="10506" max="10506" width="24.28515625" style="49" customWidth="1"/>
    <col min="10507" max="10514" width="9" style="49"/>
    <col min="10515" max="10515" width="11" style="49" bestFit="1" customWidth="1"/>
    <col min="10516" max="10516" width="9.28515625" style="49" bestFit="1" customWidth="1"/>
    <col min="10517" max="10752" width="9" style="49"/>
    <col min="10753" max="10753" width="9.7109375" style="49" customWidth="1"/>
    <col min="10754" max="10754" width="48.28515625" style="49" customWidth="1"/>
    <col min="10755" max="10755" width="55.28515625" style="49" customWidth="1"/>
    <col min="10756" max="10758" width="13" style="49" customWidth="1"/>
    <col min="10759" max="10761" width="15.85546875" style="49" customWidth="1"/>
    <col min="10762" max="10762" width="24.28515625" style="49" customWidth="1"/>
    <col min="10763" max="10770" width="9" style="49"/>
    <col min="10771" max="10771" width="11" style="49" bestFit="1" customWidth="1"/>
    <col min="10772" max="10772" width="9.28515625" style="49" bestFit="1" customWidth="1"/>
    <col min="10773" max="11008" width="9" style="49"/>
    <col min="11009" max="11009" width="9.7109375" style="49" customWidth="1"/>
    <col min="11010" max="11010" width="48.28515625" style="49" customWidth="1"/>
    <col min="11011" max="11011" width="55.28515625" style="49" customWidth="1"/>
    <col min="11012" max="11014" width="13" style="49" customWidth="1"/>
    <col min="11015" max="11017" width="15.85546875" style="49" customWidth="1"/>
    <col min="11018" max="11018" width="24.28515625" style="49" customWidth="1"/>
    <col min="11019" max="11026" width="9" style="49"/>
    <col min="11027" max="11027" width="11" style="49" bestFit="1" customWidth="1"/>
    <col min="11028" max="11028" width="9.28515625" style="49" bestFit="1" customWidth="1"/>
    <col min="11029" max="11264" width="9" style="49"/>
    <col min="11265" max="11265" width="9.7109375" style="49" customWidth="1"/>
    <col min="11266" max="11266" width="48.28515625" style="49" customWidth="1"/>
    <col min="11267" max="11267" width="55.28515625" style="49" customWidth="1"/>
    <col min="11268" max="11270" width="13" style="49" customWidth="1"/>
    <col min="11271" max="11273" width="15.85546875" style="49" customWidth="1"/>
    <col min="11274" max="11274" width="24.28515625" style="49" customWidth="1"/>
    <col min="11275" max="11282" width="9" style="49"/>
    <col min="11283" max="11283" width="11" style="49" bestFit="1" customWidth="1"/>
    <col min="11284" max="11284" width="9.28515625" style="49" bestFit="1" customWidth="1"/>
    <col min="11285" max="11520" width="9" style="49"/>
    <col min="11521" max="11521" width="9.7109375" style="49" customWidth="1"/>
    <col min="11522" max="11522" width="48.28515625" style="49" customWidth="1"/>
    <col min="11523" max="11523" width="55.28515625" style="49" customWidth="1"/>
    <col min="11524" max="11526" width="13" style="49" customWidth="1"/>
    <col min="11527" max="11529" width="15.85546875" style="49" customWidth="1"/>
    <col min="11530" max="11530" width="24.28515625" style="49" customWidth="1"/>
    <col min="11531" max="11538" width="9" style="49"/>
    <col min="11539" max="11539" width="11" style="49" bestFit="1" customWidth="1"/>
    <col min="11540" max="11540" width="9.28515625" style="49" bestFit="1" customWidth="1"/>
    <col min="11541" max="11776" width="9" style="49"/>
    <col min="11777" max="11777" width="9.7109375" style="49" customWidth="1"/>
    <col min="11778" max="11778" width="48.28515625" style="49" customWidth="1"/>
    <col min="11779" max="11779" width="55.28515625" style="49" customWidth="1"/>
    <col min="11780" max="11782" width="13" style="49" customWidth="1"/>
    <col min="11783" max="11785" width="15.85546875" style="49" customWidth="1"/>
    <col min="11786" max="11786" width="24.28515625" style="49" customWidth="1"/>
    <col min="11787" max="11794" width="9" style="49"/>
    <col min="11795" max="11795" width="11" style="49" bestFit="1" customWidth="1"/>
    <col min="11796" max="11796" width="9.28515625" style="49" bestFit="1" customWidth="1"/>
    <col min="11797" max="12032" width="9" style="49"/>
    <col min="12033" max="12033" width="9.7109375" style="49" customWidth="1"/>
    <col min="12034" max="12034" width="48.28515625" style="49" customWidth="1"/>
    <col min="12035" max="12035" width="55.28515625" style="49" customWidth="1"/>
    <col min="12036" max="12038" width="13" style="49" customWidth="1"/>
    <col min="12039" max="12041" width="15.85546875" style="49" customWidth="1"/>
    <col min="12042" max="12042" width="24.28515625" style="49" customWidth="1"/>
    <col min="12043" max="12050" width="9" style="49"/>
    <col min="12051" max="12051" width="11" style="49" bestFit="1" customWidth="1"/>
    <col min="12052" max="12052" width="9.28515625" style="49" bestFit="1" customWidth="1"/>
    <col min="12053" max="12288" width="9" style="49"/>
    <col min="12289" max="12289" width="9.7109375" style="49" customWidth="1"/>
    <col min="12290" max="12290" width="48.28515625" style="49" customWidth="1"/>
    <col min="12291" max="12291" width="55.28515625" style="49" customWidth="1"/>
    <col min="12292" max="12294" width="13" style="49" customWidth="1"/>
    <col min="12295" max="12297" width="15.85546875" style="49" customWidth="1"/>
    <col min="12298" max="12298" width="24.28515625" style="49" customWidth="1"/>
    <col min="12299" max="12306" width="9" style="49"/>
    <col min="12307" max="12307" width="11" style="49" bestFit="1" customWidth="1"/>
    <col min="12308" max="12308" width="9.28515625" style="49" bestFit="1" customWidth="1"/>
    <col min="12309" max="12544" width="9" style="49"/>
    <col min="12545" max="12545" width="9.7109375" style="49" customWidth="1"/>
    <col min="12546" max="12546" width="48.28515625" style="49" customWidth="1"/>
    <col min="12547" max="12547" width="55.28515625" style="49" customWidth="1"/>
    <col min="12548" max="12550" width="13" style="49" customWidth="1"/>
    <col min="12551" max="12553" width="15.85546875" style="49" customWidth="1"/>
    <col min="12554" max="12554" width="24.28515625" style="49" customWidth="1"/>
    <col min="12555" max="12562" width="9" style="49"/>
    <col min="12563" max="12563" width="11" style="49" bestFit="1" customWidth="1"/>
    <col min="12564" max="12564" width="9.28515625" style="49" bestFit="1" customWidth="1"/>
    <col min="12565" max="12800" width="9" style="49"/>
    <col min="12801" max="12801" width="9.7109375" style="49" customWidth="1"/>
    <col min="12802" max="12802" width="48.28515625" style="49" customWidth="1"/>
    <col min="12803" max="12803" width="55.28515625" style="49" customWidth="1"/>
    <col min="12804" max="12806" width="13" style="49" customWidth="1"/>
    <col min="12807" max="12809" width="15.85546875" style="49" customWidth="1"/>
    <col min="12810" max="12810" width="24.28515625" style="49" customWidth="1"/>
    <col min="12811" max="12818" width="9" style="49"/>
    <col min="12819" max="12819" width="11" style="49" bestFit="1" customWidth="1"/>
    <col min="12820" max="12820" width="9.28515625" style="49" bestFit="1" customWidth="1"/>
    <col min="12821" max="13056" width="9" style="49"/>
    <col min="13057" max="13057" width="9.7109375" style="49" customWidth="1"/>
    <col min="13058" max="13058" width="48.28515625" style="49" customWidth="1"/>
    <col min="13059" max="13059" width="55.28515625" style="49" customWidth="1"/>
    <col min="13060" max="13062" width="13" style="49" customWidth="1"/>
    <col min="13063" max="13065" width="15.85546875" style="49" customWidth="1"/>
    <col min="13066" max="13066" width="24.28515625" style="49" customWidth="1"/>
    <col min="13067" max="13074" width="9" style="49"/>
    <col min="13075" max="13075" width="11" style="49" bestFit="1" customWidth="1"/>
    <col min="13076" max="13076" width="9.28515625" style="49" bestFit="1" customWidth="1"/>
    <col min="13077" max="13312" width="9" style="49"/>
    <col min="13313" max="13313" width="9.7109375" style="49" customWidth="1"/>
    <col min="13314" max="13314" width="48.28515625" style="49" customWidth="1"/>
    <col min="13315" max="13315" width="55.28515625" style="49" customWidth="1"/>
    <col min="13316" max="13318" width="13" style="49" customWidth="1"/>
    <col min="13319" max="13321" width="15.85546875" style="49" customWidth="1"/>
    <col min="13322" max="13322" width="24.28515625" style="49" customWidth="1"/>
    <col min="13323" max="13330" width="9" style="49"/>
    <col min="13331" max="13331" width="11" style="49" bestFit="1" customWidth="1"/>
    <col min="13332" max="13332" width="9.28515625" style="49" bestFit="1" customWidth="1"/>
    <col min="13333" max="13568" width="9" style="49"/>
    <col min="13569" max="13569" width="9.7109375" style="49" customWidth="1"/>
    <col min="13570" max="13570" width="48.28515625" style="49" customWidth="1"/>
    <col min="13571" max="13571" width="55.28515625" style="49" customWidth="1"/>
    <col min="13572" max="13574" width="13" style="49" customWidth="1"/>
    <col min="13575" max="13577" width="15.85546875" style="49" customWidth="1"/>
    <col min="13578" max="13578" width="24.28515625" style="49" customWidth="1"/>
    <col min="13579" max="13586" width="9" style="49"/>
    <col min="13587" max="13587" width="11" style="49" bestFit="1" customWidth="1"/>
    <col min="13588" max="13588" width="9.28515625" style="49" bestFit="1" customWidth="1"/>
    <col min="13589" max="13824" width="9" style="49"/>
    <col min="13825" max="13825" width="9.7109375" style="49" customWidth="1"/>
    <col min="13826" max="13826" width="48.28515625" style="49" customWidth="1"/>
    <col min="13827" max="13827" width="55.28515625" style="49" customWidth="1"/>
    <col min="13828" max="13830" width="13" style="49" customWidth="1"/>
    <col min="13831" max="13833" width="15.85546875" style="49" customWidth="1"/>
    <col min="13834" max="13834" width="24.28515625" style="49" customWidth="1"/>
    <col min="13835" max="13842" width="9" style="49"/>
    <col min="13843" max="13843" width="11" style="49" bestFit="1" customWidth="1"/>
    <col min="13844" max="13844" width="9.28515625" style="49" bestFit="1" customWidth="1"/>
    <col min="13845" max="14080" width="9" style="49"/>
    <col min="14081" max="14081" width="9.7109375" style="49" customWidth="1"/>
    <col min="14082" max="14082" width="48.28515625" style="49" customWidth="1"/>
    <col min="14083" max="14083" width="55.28515625" style="49" customWidth="1"/>
    <col min="14084" max="14086" width="13" style="49" customWidth="1"/>
    <col min="14087" max="14089" width="15.85546875" style="49" customWidth="1"/>
    <col min="14090" max="14090" width="24.28515625" style="49" customWidth="1"/>
    <col min="14091" max="14098" width="9" style="49"/>
    <col min="14099" max="14099" width="11" style="49" bestFit="1" customWidth="1"/>
    <col min="14100" max="14100" width="9.28515625" style="49" bestFit="1" customWidth="1"/>
    <col min="14101" max="14336" width="9" style="49"/>
    <col min="14337" max="14337" width="9.7109375" style="49" customWidth="1"/>
    <col min="14338" max="14338" width="48.28515625" style="49" customWidth="1"/>
    <col min="14339" max="14339" width="55.28515625" style="49" customWidth="1"/>
    <col min="14340" max="14342" width="13" style="49" customWidth="1"/>
    <col min="14343" max="14345" width="15.85546875" style="49" customWidth="1"/>
    <col min="14346" max="14346" width="24.28515625" style="49" customWidth="1"/>
    <col min="14347" max="14354" width="9" style="49"/>
    <col min="14355" max="14355" width="11" style="49" bestFit="1" customWidth="1"/>
    <col min="14356" max="14356" width="9.28515625" style="49" bestFit="1" customWidth="1"/>
    <col min="14357" max="14592" width="9" style="49"/>
    <col min="14593" max="14593" width="9.7109375" style="49" customWidth="1"/>
    <col min="14594" max="14594" width="48.28515625" style="49" customWidth="1"/>
    <col min="14595" max="14595" width="55.28515625" style="49" customWidth="1"/>
    <col min="14596" max="14598" width="13" style="49" customWidth="1"/>
    <col min="14599" max="14601" width="15.85546875" style="49" customWidth="1"/>
    <col min="14602" max="14602" width="24.28515625" style="49" customWidth="1"/>
    <col min="14603" max="14610" width="9" style="49"/>
    <col min="14611" max="14611" width="11" style="49" bestFit="1" customWidth="1"/>
    <col min="14612" max="14612" width="9.28515625" style="49" bestFit="1" customWidth="1"/>
    <col min="14613" max="14848" width="9" style="49"/>
    <col min="14849" max="14849" width="9.7109375" style="49" customWidth="1"/>
    <col min="14850" max="14850" width="48.28515625" style="49" customWidth="1"/>
    <col min="14851" max="14851" width="55.28515625" style="49" customWidth="1"/>
    <col min="14852" max="14854" width="13" style="49" customWidth="1"/>
    <col min="14855" max="14857" width="15.85546875" style="49" customWidth="1"/>
    <col min="14858" max="14858" width="24.28515625" style="49" customWidth="1"/>
    <col min="14859" max="14866" width="9" style="49"/>
    <col min="14867" max="14867" width="11" style="49" bestFit="1" customWidth="1"/>
    <col min="14868" max="14868" width="9.28515625" style="49" bestFit="1" customWidth="1"/>
    <col min="14869" max="15104" width="9" style="49"/>
    <col min="15105" max="15105" width="9.7109375" style="49" customWidth="1"/>
    <col min="15106" max="15106" width="48.28515625" style="49" customWidth="1"/>
    <col min="15107" max="15107" width="55.28515625" style="49" customWidth="1"/>
    <col min="15108" max="15110" width="13" style="49" customWidth="1"/>
    <col min="15111" max="15113" width="15.85546875" style="49" customWidth="1"/>
    <col min="15114" max="15114" width="24.28515625" style="49" customWidth="1"/>
    <col min="15115" max="15122" width="9" style="49"/>
    <col min="15123" max="15123" width="11" style="49" bestFit="1" customWidth="1"/>
    <col min="15124" max="15124" width="9.28515625" style="49" bestFit="1" customWidth="1"/>
    <col min="15125" max="15360" width="9" style="49"/>
    <col min="15361" max="15361" width="9.7109375" style="49" customWidth="1"/>
    <col min="15362" max="15362" width="48.28515625" style="49" customWidth="1"/>
    <col min="15363" max="15363" width="55.28515625" style="49" customWidth="1"/>
    <col min="15364" max="15366" width="13" style="49" customWidth="1"/>
    <col min="15367" max="15369" width="15.85546875" style="49" customWidth="1"/>
    <col min="15370" max="15370" width="24.28515625" style="49" customWidth="1"/>
    <col min="15371" max="15378" width="9" style="49"/>
    <col min="15379" max="15379" width="11" style="49" bestFit="1" customWidth="1"/>
    <col min="15380" max="15380" width="9.28515625" style="49" bestFit="1" customWidth="1"/>
    <col min="15381" max="15616" width="9" style="49"/>
    <col min="15617" max="15617" width="9.7109375" style="49" customWidth="1"/>
    <col min="15618" max="15618" width="48.28515625" style="49" customWidth="1"/>
    <col min="15619" max="15619" width="55.28515625" style="49" customWidth="1"/>
    <col min="15620" max="15622" width="13" style="49" customWidth="1"/>
    <col min="15623" max="15625" width="15.85546875" style="49" customWidth="1"/>
    <col min="15626" max="15626" width="24.28515625" style="49" customWidth="1"/>
    <col min="15627" max="15634" width="9" style="49"/>
    <col min="15635" max="15635" width="11" style="49" bestFit="1" customWidth="1"/>
    <col min="15636" max="15636" width="9.28515625" style="49" bestFit="1" customWidth="1"/>
    <col min="15637" max="15872" width="9" style="49"/>
    <col min="15873" max="15873" width="9.7109375" style="49" customWidth="1"/>
    <col min="15874" max="15874" width="48.28515625" style="49" customWidth="1"/>
    <col min="15875" max="15875" width="55.28515625" style="49" customWidth="1"/>
    <col min="15876" max="15878" width="13" style="49" customWidth="1"/>
    <col min="15879" max="15881" width="15.85546875" style="49" customWidth="1"/>
    <col min="15882" max="15882" width="24.28515625" style="49" customWidth="1"/>
    <col min="15883" max="15890" width="9" style="49"/>
    <col min="15891" max="15891" width="11" style="49" bestFit="1" customWidth="1"/>
    <col min="15892" max="15892" width="9.28515625" style="49" bestFit="1" customWidth="1"/>
    <col min="15893" max="16128" width="9" style="49"/>
    <col min="16129" max="16129" width="9.7109375" style="49" customWidth="1"/>
    <col min="16130" max="16130" width="48.28515625" style="49" customWidth="1"/>
    <col min="16131" max="16131" width="55.28515625" style="49" customWidth="1"/>
    <col min="16132" max="16134" width="13" style="49" customWidth="1"/>
    <col min="16135" max="16137" width="15.85546875" style="49" customWidth="1"/>
    <col min="16138" max="16138" width="24.28515625" style="49" customWidth="1"/>
    <col min="16139" max="16146" width="9" style="49"/>
    <col min="16147" max="16147" width="11" style="49" bestFit="1" customWidth="1"/>
    <col min="16148" max="16148" width="9.28515625" style="49" bestFit="1" customWidth="1"/>
    <col min="16149" max="16384" width="9" style="49"/>
  </cols>
  <sheetData>
    <row r="1" spans="1:24" s="39" customFormat="1" ht="18" customHeight="1">
      <c r="H1" s="40"/>
      <c r="I1" s="40"/>
      <c r="J1" s="40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2"/>
      <c r="W1" s="42"/>
      <c r="X1" s="42"/>
    </row>
    <row r="2" spans="1:24" s="39" customFormat="1" ht="18" customHeight="1">
      <c r="H2" s="40"/>
      <c r="I2" s="40"/>
      <c r="J2" s="40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42"/>
      <c r="X2" s="42"/>
    </row>
    <row r="3" spans="1:24" s="39" customFormat="1" ht="18" customHeight="1">
      <c r="H3" s="40"/>
      <c r="I3" s="40"/>
      <c r="J3" s="40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2"/>
      <c r="W3" s="42"/>
      <c r="X3" s="42"/>
    </row>
    <row r="4" spans="1:24" s="39" customFormat="1" ht="18" customHeight="1">
      <c r="A4" s="43" t="s">
        <v>201</v>
      </c>
      <c r="H4" s="40"/>
      <c r="I4" s="40"/>
      <c r="J4" s="40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2"/>
      <c r="W4" s="42"/>
      <c r="X4" s="42"/>
    </row>
    <row r="5" spans="1:24" s="39" customFormat="1" ht="18" customHeight="1">
      <c r="A5" s="39" t="s">
        <v>202</v>
      </c>
      <c r="H5" s="40"/>
      <c r="I5" s="40"/>
      <c r="J5" s="40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2"/>
      <c r="W5" s="42"/>
      <c r="X5" s="42"/>
    </row>
    <row r="6" spans="1:24" s="39" customFormat="1" ht="18" customHeight="1">
      <c r="A6" s="39" t="s">
        <v>203</v>
      </c>
      <c r="H6" s="40"/>
      <c r="I6" s="40"/>
      <c r="J6" s="40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2"/>
      <c r="W6" s="42"/>
      <c r="X6" s="42"/>
    </row>
    <row r="7" spans="1:24" s="39" customFormat="1" ht="18" customHeight="1">
      <c r="A7" s="39" t="s">
        <v>204</v>
      </c>
      <c r="H7" s="40"/>
      <c r="I7" s="40"/>
      <c r="J7" s="40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2"/>
      <c r="W7" s="42"/>
      <c r="X7" s="42"/>
    </row>
    <row r="8" spans="1:24" s="39" customFormat="1" ht="18" customHeight="1">
      <c r="A8" s="39" t="s">
        <v>311</v>
      </c>
      <c r="G8" s="44" t="s">
        <v>205</v>
      </c>
      <c r="H8" s="45" t="s">
        <v>206</v>
      </c>
      <c r="I8" s="40"/>
      <c r="J8" s="40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2"/>
      <c r="W8" s="42"/>
      <c r="X8" s="42"/>
    </row>
    <row r="9" spans="1:24" s="39" customFormat="1" ht="9" customHeight="1" thickBot="1">
      <c r="H9" s="40"/>
      <c r="I9" s="40"/>
      <c r="J9" s="40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2"/>
      <c r="W9" s="42"/>
      <c r="X9" s="42"/>
    </row>
    <row r="10" spans="1:24" ht="18" customHeight="1">
      <c r="A10" s="46"/>
      <c r="B10" s="47" t="s">
        <v>207</v>
      </c>
      <c r="C10" s="47"/>
      <c r="D10" s="48"/>
      <c r="E10" s="46"/>
      <c r="F10" s="47"/>
      <c r="G10" s="47"/>
      <c r="H10" s="47"/>
      <c r="I10" s="48"/>
    </row>
    <row r="11" spans="1:24" ht="18" customHeight="1">
      <c r="A11" s="50" t="s">
        <v>312</v>
      </c>
      <c r="D11" s="51"/>
      <c r="E11" s="50" t="s">
        <v>208</v>
      </c>
      <c r="G11" s="52"/>
      <c r="H11" s="52"/>
      <c r="I11" s="53"/>
    </row>
    <row r="12" spans="1:24" ht="27.75">
      <c r="A12" s="55"/>
      <c r="D12" s="51"/>
      <c r="E12" s="55"/>
      <c r="G12" s="52"/>
      <c r="H12" s="52"/>
      <c r="I12" s="53"/>
    </row>
    <row r="13" spans="1:24" ht="21" customHeight="1">
      <c r="A13" s="50" t="s">
        <v>313</v>
      </c>
      <c r="D13" s="51"/>
      <c r="E13" s="50" t="s">
        <v>209</v>
      </c>
      <c r="G13" s="54">
        <f ca="1">TODAY()</f>
        <v>46035</v>
      </c>
      <c r="H13" s="52"/>
      <c r="I13" s="53"/>
    </row>
    <row r="14" spans="1:24" ht="31.15" customHeight="1">
      <c r="A14" s="50"/>
      <c r="D14" s="51"/>
      <c r="E14" s="55"/>
      <c r="G14" s="133"/>
      <c r="H14" s="52"/>
      <c r="I14" s="53"/>
    </row>
    <row r="15" spans="1:24" ht="31.15" customHeight="1">
      <c r="A15" s="50"/>
      <c r="B15" s="132"/>
      <c r="C15" s="122"/>
      <c r="D15" s="51"/>
      <c r="E15" s="50" t="s">
        <v>210</v>
      </c>
      <c r="G15" s="133"/>
      <c r="H15" s="52"/>
      <c r="I15" s="53"/>
    </row>
    <row r="16" spans="1:24" ht="21" customHeight="1">
      <c r="A16" s="50" t="s">
        <v>242</v>
      </c>
      <c r="B16" s="134"/>
      <c r="C16" s="134"/>
      <c r="D16" s="51"/>
      <c r="E16" s="50"/>
      <c r="G16" s="133"/>
      <c r="H16" s="52"/>
      <c r="I16" s="53"/>
    </row>
    <row r="17" spans="1:28" ht="21" customHeight="1">
      <c r="A17" s="50" t="s">
        <v>314</v>
      </c>
      <c r="D17" s="51"/>
      <c r="E17" s="50" t="s">
        <v>211</v>
      </c>
      <c r="G17" s="133"/>
      <c r="H17" s="52" t="s">
        <v>212</v>
      </c>
      <c r="I17" s="53"/>
    </row>
    <row r="18" spans="1:28" ht="18" customHeight="1">
      <c r="A18" s="50" t="s">
        <v>213</v>
      </c>
      <c r="B18" s="135"/>
      <c r="C18" s="135"/>
      <c r="D18" s="51"/>
      <c r="E18" s="50"/>
      <c r="G18" s="131"/>
      <c r="H18" s="52"/>
      <c r="I18" s="53"/>
    </row>
    <row r="19" spans="1:28" ht="18" customHeight="1" thickBot="1">
      <c r="A19" s="56"/>
      <c r="B19" s="111"/>
      <c r="C19" s="111"/>
      <c r="D19" s="112"/>
      <c r="E19" s="56"/>
      <c r="F19" s="57"/>
      <c r="G19" s="58"/>
      <c r="H19" s="58"/>
      <c r="I19" s="59"/>
    </row>
    <row r="20" spans="1:28" ht="9" customHeight="1" thickBot="1">
      <c r="A20" s="57"/>
      <c r="B20" s="57"/>
      <c r="C20" s="57"/>
      <c r="D20" s="57"/>
      <c r="E20" s="60"/>
      <c r="F20" s="60"/>
      <c r="G20" s="60"/>
      <c r="H20" s="60"/>
      <c r="I20" s="60"/>
    </row>
    <row r="21" spans="1:28" s="64" customFormat="1" ht="30.6" customHeight="1" thickBot="1">
      <c r="A21" s="61" t="s">
        <v>3</v>
      </c>
      <c r="B21" s="151" t="s">
        <v>214</v>
      </c>
      <c r="C21" s="152"/>
      <c r="D21" s="154" t="s">
        <v>215</v>
      </c>
      <c r="E21" s="154"/>
      <c r="F21" s="154"/>
      <c r="G21" s="62" t="s">
        <v>216</v>
      </c>
      <c r="H21" s="63" t="s">
        <v>217</v>
      </c>
      <c r="I21" s="63" t="s">
        <v>218</v>
      </c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2"/>
      <c r="W21" s="42"/>
      <c r="X21" s="42"/>
      <c r="Y21" s="40"/>
      <c r="Z21" s="40"/>
      <c r="AA21" s="40"/>
      <c r="AB21" s="40"/>
    </row>
    <row r="22" spans="1:28" s="64" customFormat="1" ht="30.6" customHeight="1" thickBot="1">
      <c r="A22" s="65" t="s">
        <v>219</v>
      </c>
      <c r="B22" s="153"/>
      <c r="C22" s="147"/>
      <c r="D22" s="67" t="s">
        <v>220</v>
      </c>
      <c r="E22" s="68" t="s">
        <v>221</v>
      </c>
      <c r="F22" s="69" t="s">
        <v>222</v>
      </c>
      <c r="G22" s="70" t="s">
        <v>223</v>
      </c>
      <c r="H22" s="71" t="s">
        <v>224</v>
      </c>
      <c r="I22" s="71" t="s">
        <v>225</v>
      </c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2"/>
      <c r="W22" s="42"/>
      <c r="X22" s="42"/>
      <c r="Y22" s="40"/>
      <c r="Z22" s="40"/>
      <c r="AA22" s="40"/>
      <c r="AB22" s="40"/>
    </row>
    <row r="23" spans="1:28" ht="41.45" customHeight="1">
      <c r="A23" s="72"/>
      <c r="B23" s="73"/>
      <c r="C23" s="74"/>
      <c r="D23" s="75"/>
      <c r="E23" s="76"/>
      <c r="F23" s="77"/>
      <c r="G23" s="78"/>
      <c r="H23" s="78"/>
      <c r="I23" s="79"/>
    </row>
    <row r="24" spans="1:28" s="86" customFormat="1" ht="42.6" customHeight="1">
      <c r="A24" s="80"/>
      <c r="B24" s="162"/>
      <c r="C24" s="150"/>
      <c r="D24" s="82"/>
      <c r="E24" s="83"/>
      <c r="F24" s="77">
        <f t="shared" ref="F24" si="0">E24</f>
        <v>0</v>
      </c>
      <c r="G24" s="84"/>
      <c r="H24" s="79">
        <f>F24</f>
        <v>0</v>
      </c>
      <c r="I24" s="79">
        <f>+G24*H24</f>
        <v>0</v>
      </c>
      <c r="J24" s="120"/>
      <c r="K24" s="85"/>
      <c r="L24" s="85"/>
      <c r="M24" s="85"/>
      <c r="N24" s="85"/>
      <c r="O24" s="85"/>
      <c r="P24" s="40"/>
      <c r="Q24" s="41"/>
      <c r="R24" s="41"/>
      <c r="S24" s="41"/>
      <c r="T24" s="41"/>
      <c r="U24" s="41"/>
      <c r="V24" s="42"/>
      <c r="W24" s="42"/>
      <c r="X24" s="42"/>
      <c r="Y24" s="39"/>
      <c r="Z24" s="39"/>
      <c r="AA24" s="39"/>
      <c r="AB24" s="39"/>
    </row>
    <row r="25" spans="1:28" s="86" customFormat="1" ht="42.6" customHeight="1">
      <c r="A25" s="80"/>
      <c r="B25" s="162"/>
      <c r="C25" s="150"/>
      <c r="D25" s="82"/>
      <c r="E25" s="83"/>
      <c r="F25" s="77"/>
      <c r="G25" s="84"/>
      <c r="H25" s="79"/>
      <c r="I25" s="79"/>
      <c r="J25" s="120"/>
      <c r="K25" s="85"/>
      <c r="L25" s="85"/>
      <c r="M25" s="85"/>
      <c r="N25" s="85"/>
      <c r="O25" s="85"/>
      <c r="P25" s="40"/>
      <c r="Q25" s="41"/>
      <c r="R25" s="41"/>
      <c r="S25" s="41"/>
      <c r="T25" s="41"/>
      <c r="U25" s="41"/>
      <c r="V25" s="42"/>
      <c r="W25" s="42"/>
      <c r="X25" s="42"/>
      <c r="Y25" s="39"/>
      <c r="Z25" s="39"/>
      <c r="AA25" s="39"/>
      <c r="AB25" s="39"/>
    </row>
    <row r="26" spans="1:28" s="86" customFormat="1" ht="42.6" customHeight="1">
      <c r="A26" s="80"/>
      <c r="B26" s="162"/>
      <c r="C26" s="150"/>
      <c r="D26" s="82"/>
      <c r="E26" s="83"/>
      <c r="F26" s="77"/>
      <c r="G26" s="84"/>
      <c r="H26" s="79"/>
      <c r="I26" s="79"/>
      <c r="J26" s="120"/>
      <c r="K26" s="85"/>
      <c r="L26" s="85"/>
      <c r="M26" s="85"/>
      <c r="N26" s="85"/>
      <c r="O26" s="85"/>
      <c r="P26" s="40"/>
      <c r="Q26" s="41"/>
      <c r="R26" s="41"/>
      <c r="S26" s="41"/>
      <c r="T26" s="41"/>
      <c r="U26" s="41"/>
      <c r="V26" s="42"/>
      <c r="W26" s="42"/>
      <c r="X26" s="42"/>
      <c r="Y26" s="39"/>
      <c r="Z26" s="39"/>
      <c r="AA26" s="39"/>
      <c r="AB26" s="39"/>
    </row>
    <row r="27" spans="1:28" s="86" customFormat="1" ht="42.6" customHeight="1">
      <c r="A27" s="80"/>
      <c r="B27" s="162"/>
      <c r="C27" s="150"/>
      <c r="D27" s="82"/>
      <c r="E27" s="83"/>
      <c r="F27" s="77"/>
      <c r="G27" s="84"/>
      <c r="H27" s="79"/>
      <c r="I27" s="79"/>
      <c r="J27" s="120"/>
      <c r="K27" s="85"/>
      <c r="L27" s="85"/>
      <c r="M27" s="85"/>
      <c r="N27" s="85"/>
      <c r="O27" s="85"/>
      <c r="P27" s="40"/>
      <c r="Q27" s="41"/>
      <c r="R27" s="41"/>
      <c r="S27" s="41"/>
      <c r="T27" s="41"/>
      <c r="U27" s="41"/>
      <c r="V27" s="42"/>
      <c r="W27" s="42"/>
      <c r="X27" s="42"/>
      <c r="Y27" s="39"/>
      <c r="Z27" s="39"/>
      <c r="AA27" s="39"/>
      <c r="AB27" s="39"/>
    </row>
    <row r="28" spans="1:28" s="86" customFormat="1" ht="42.6" customHeight="1">
      <c r="A28" s="80"/>
      <c r="B28" s="162"/>
      <c r="C28" s="150"/>
      <c r="D28" s="82"/>
      <c r="E28" s="83"/>
      <c r="F28" s="77"/>
      <c r="G28" s="84"/>
      <c r="H28" s="79"/>
      <c r="I28" s="79"/>
      <c r="J28" s="120"/>
      <c r="K28" s="85"/>
      <c r="L28" s="85"/>
      <c r="M28" s="85"/>
      <c r="N28" s="85"/>
      <c r="O28" s="85"/>
      <c r="P28" s="40"/>
      <c r="Q28" s="41"/>
      <c r="R28" s="41"/>
      <c r="S28" s="41"/>
      <c r="T28" s="41"/>
      <c r="U28" s="41"/>
      <c r="V28" s="42"/>
      <c r="W28" s="42"/>
      <c r="X28" s="42"/>
      <c r="Y28" s="39"/>
      <c r="Z28" s="39"/>
      <c r="AA28" s="39"/>
      <c r="AB28" s="39"/>
    </row>
    <row r="29" spans="1:28" s="86" customFormat="1" ht="42.6" customHeight="1">
      <c r="A29" s="80"/>
      <c r="B29" s="162"/>
      <c r="C29" s="150"/>
      <c r="D29" s="82"/>
      <c r="E29" s="83"/>
      <c r="F29" s="77"/>
      <c r="G29" s="84"/>
      <c r="H29" s="79"/>
      <c r="I29" s="79"/>
      <c r="J29" s="120"/>
      <c r="K29" s="85"/>
      <c r="L29" s="85"/>
      <c r="M29" s="85"/>
      <c r="N29" s="85"/>
      <c r="O29" s="85"/>
      <c r="P29" s="40"/>
      <c r="Q29" s="41"/>
      <c r="R29" s="41"/>
      <c r="S29" s="41"/>
      <c r="T29" s="41"/>
      <c r="U29" s="41"/>
      <c r="V29" s="42"/>
      <c r="W29" s="42"/>
      <c r="X29" s="42"/>
      <c r="Y29" s="39"/>
      <c r="Z29" s="39"/>
      <c r="AA29" s="39"/>
      <c r="AB29" s="39"/>
    </row>
    <row r="30" spans="1:28" s="86" customFormat="1" ht="42.6" customHeight="1">
      <c r="A30" s="80"/>
      <c r="B30" s="162"/>
      <c r="C30" s="150"/>
      <c r="D30" s="82"/>
      <c r="E30" s="83"/>
      <c r="F30" s="77"/>
      <c r="G30" s="84"/>
      <c r="H30" s="79"/>
      <c r="I30" s="79"/>
      <c r="J30" s="120"/>
      <c r="K30" s="85"/>
      <c r="L30" s="85"/>
      <c r="M30" s="85"/>
      <c r="N30" s="85"/>
      <c r="O30" s="85"/>
      <c r="P30" s="40"/>
      <c r="Q30" s="41"/>
      <c r="R30" s="41"/>
      <c r="S30" s="41"/>
      <c r="T30" s="41"/>
      <c r="U30" s="41"/>
      <c r="V30" s="42"/>
      <c r="W30" s="42"/>
      <c r="X30" s="42"/>
      <c r="Y30" s="39"/>
      <c r="Z30" s="39"/>
      <c r="AA30" s="39"/>
      <c r="AB30" s="39"/>
    </row>
    <row r="31" spans="1:28" ht="42.6" customHeight="1">
      <c r="A31" s="80"/>
      <c r="B31" s="55"/>
      <c r="D31" s="82"/>
      <c r="E31" s="83"/>
      <c r="F31" s="77"/>
      <c r="G31" s="84"/>
      <c r="H31" s="79"/>
      <c r="I31" s="79"/>
      <c r="O31" s="85"/>
    </row>
    <row r="32" spans="1:28" ht="42.6" customHeight="1">
      <c r="A32" s="72"/>
      <c r="B32" s="162"/>
      <c r="C32" s="150"/>
      <c r="D32" s="82"/>
      <c r="E32" s="83"/>
      <c r="F32" s="77"/>
      <c r="G32" s="84"/>
      <c r="H32" s="79"/>
      <c r="I32" s="79"/>
      <c r="O32" s="85"/>
    </row>
    <row r="33" spans="1:28" s="42" customFormat="1" ht="18" customHeight="1">
      <c r="A33" s="72"/>
      <c r="B33" s="87" t="s">
        <v>226</v>
      </c>
      <c r="C33" s="88"/>
      <c r="D33" s="82"/>
      <c r="E33" s="83"/>
      <c r="F33" s="77"/>
      <c r="G33" s="84"/>
      <c r="H33" s="79"/>
      <c r="I33" s="79"/>
      <c r="J33" s="49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Y33" s="39"/>
      <c r="Z33" s="39"/>
      <c r="AA33" s="39"/>
      <c r="AB33" s="39"/>
    </row>
    <row r="34" spans="1:28" s="42" customFormat="1" ht="18" customHeight="1">
      <c r="A34" s="72"/>
      <c r="B34" s="87" t="s">
        <v>227</v>
      </c>
      <c r="C34" s="88"/>
      <c r="D34" s="82"/>
      <c r="E34" s="83"/>
      <c r="F34" s="77"/>
      <c r="G34" s="84"/>
      <c r="H34" s="79"/>
      <c r="I34" s="79"/>
      <c r="J34" s="49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Y34" s="39"/>
      <c r="Z34" s="39"/>
      <c r="AA34" s="39"/>
      <c r="AB34" s="39"/>
    </row>
    <row r="35" spans="1:28" s="42" customFormat="1" ht="18" customHeight="1">
      <c r="A35" s="72"/>
      <c r="B35" s="81"/>
      <c r="C35" s="53"/>
      <c r="D35" s="82"/>
      <c r="E35" s="83"/>
      <c r="F35" s="77"/>
      <c r="G35" s="84"/>
      <c r="H35" s="79"/>
      <c r="I35" s="79"/>
      <c r="J35" s="49"/>
      <c r="K35" s="41"/>
      <c r="L35" s="41"/>
      <c r="M35" s="41"/>
      <c r="N35" s="41"/>
      <c r="O35" s="41"/>
      <c r="P35" s="41"/>
      <c r="Q35" s="121"/>
      <c r="R35" s="121"/>
      <c r="S35" s="121"/>
      <c r="T35" s="121"/>
      <c r="U35" s="121"/>
      <c r="Y35" s="39"/>
      <c r="Z35" s="39"/>
      <c r="AA35" s="39"/>
      <c r="AB35" s="39"/>
    </row>
    <row r="36" spans="1:28" s="42" customFormat="1" ht="18" customHeight="1" thickBot="1">
      <c r="A36" s="66"/>
      <c r="B36" s="89"/>
      <c r="C36" s="59"/>
      <c r="D36" s="90"/>
      <c r="E36" s="91"/>
      <c r="F36" s="92"/>
      <c r="G36" s="71"/>
      <c r="H36" s="93"/>
      <c r="I36" s="93"/>
      <c r="J36" s="49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Y36" s="39"/>
      <c r="Z36" s="39"/>
      <c r="AA36" s="39"/>
      <c r="AB36" s="39"/>
    </row>
    <row r="37" spans="1:28" s="42" customFormat="1" ht="31.5" customHeight="1">
      <c r="A37" s="94" t="s">
        <v>228</v>
      </c>
      <c r="B37" s="47"/>
      <c r="C37" s="47"/>
      <c r="D37" s="47"/>
      <c r="E37" s="48"/>
      <c r="F37" s="155" t="s">
        <v>229</v>
      </c>
      <c r="G37" s="156"/>
      <c r="H37" s="157"/>
      <c r="I37" s="124">
        <f>SUM(I24:I36)</f>
        <v>0</v>
      </c>
      <c r="J37" s="49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Y37" s="39"/>
      <c r="Z37" s="39"/>
      <c r="AA37" s="39"/>
      <c r="AB37" s="39"/>
    </row>
    <row r="38" spans="1:28" s="42" customFormat="1" ht="31.5" customHeight="1">
      <c r="A38" s="50"/>
      <c r="B38" s="52"/>
      <c r="C38" s="52"/>
      <c r="D38" s="49"/>
      <c r="E38" s="51"/>
      <c r="F38" s="95"/>
      <c r="G38" s="96"/>
      <c r="H38" s="97" t="s">
        <v>230</v>
      </c>
      <c r="I38" s="125"/>
      <c r="J38" s="49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Y38" s="39"/>
      <c r="Z38" s="39"/>
      <c r="AA38" s="39"/>
      <c r="AB38" s="39"/>
    </row>
    <row r="39" spans="1:28" s="42" customFormat="1" ht="31.5" customHeight="1">
      <c r="A39" s="50"/>
      <c r="B39" s="52"/>
      <c r="C39" s="52"/>
      <c r="D39" s="49"/>
      <c r="E39" s="51"/>
      <c r="F39" s="95"/>
      <c r="G39" s="96"/>
      <c r="H39" s="97" t="s">
        <v>231</v>
      </c>
      <c r="I39" s="125">
        <f>+I37-I38</f>
        <v>0</v>
      </c>
      <c r="J39" s="49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Y39" s="39"/>
      <c r="Z39" s="39"/>
      <c r="AA39" s="39"/>
      <c r="AB39" s="39"/>
    </row>
    <row r="40" spans="1:28" s="42" customFormat="1" ht="31.5" customHeight="1">
      <c r="A40" s="55"/>
      <c r="B40" s="158"/>
      <c r="C40" s="158"/>
      <c r="D40" s="158"/>
      <c r="E40" s="159"/>
      <c r="F40" s="98"/>
      <c r="G40" s="160" t="s">
        <v>232</v>
      </c>
      <c r="H40" s="161"/>
      <c r="I40" s="126">
        <f>+I39*0.07</f>
        <v>0</v>
      </c>
      <c r="J40" s="49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Y40" s="39"/>
      <c r="Z40" s="39"/>
      <c r="AA40" s="39"/>
      <c r="AB40" s="39"/>
    </row>
    <row r="41" spans="1:28" s="42" customFormat="1" ht="31.5" customHeight="1" thickBot="1">
      <c r="A41" s="56"/>
      <c r="B41" s="146"/>
      <c r="C41" s="146"/>
      <c r="D41" s="146"/>
      <c r="E41" s="147"/>
      <c r="F41" s="56"/>
      <c r="G41" s="148" t="s">
        <v>233</v>
      </c>
      <c r="H41" s="149"/>
      <c r="I41" s="127">
        <f>+I39+I40</f>
        <v>0</v>
      </c>
      <c r="J41" s="49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Y41" s="39"/>
      <c r="Z41" s="39"/>
      <c r="AA41" s="39"/>
      <c r="AB41" s="39"/>
    </row>
    <row r="42" spans="1:28" s="42" customFormat="1" ht="13.15" customHeight="1">
      <c r="A42" s="136" t="s">
        <v>234</v>
      </c>
      <c r="B42" s="137"/>
      <c r="C42" s="137"/>
      <c r="D42" s="137"/>
      <c r="E42" s="138"/>
      <c r="F42" s="142" t="s">
        <v>235</v>
      </c>
      <c r="G42" s="142"/>
      <c r="H42" s="142"/>
      <c r="I42" s="143"/>
      <c r="J42" s="49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Y42" s="39"/>
      <c r="Z42" s="39"/>
      <c r="AA42" s="39"/>
      <c r="AB42" s="39"/>
    </row>
    <row r="43" spans="1:28" s="42" customFormat="1" ht="13.15" customHeight="1" thickBot="1">
      <c r="A43" s="139"/>
      <c r="B43" s="140"/>
      <c r="C43" s="140"/>
      <c r="D43" s="140"/>
      <c r="E43" s="141"/>
      <c r="F43" s="140"/>
      <c r="G43" s="140"/>
      <c r="H43" s="140"/>
      <c r="I43" s="144"/>
      <c r="J43" s="49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Y43" s="39"/>
      <c r="Z43" s="39"/>
      <c r="AA43" s="39"/>
      <c r="AB43" s="39"/>
    </row>
    <row r="44" spans="1:28" s="42" customFormat="1" ht="13.15" customHeight="1" thickBot="1">
      <c r="A44" s="99"/>
      <c r="B44" s="128"/>
      <c r="C44" s="128"/>
      <c r="D44" s="128"/>
      <c r="E44" s="128"/>
      <c r="F44" s="128"/>
      <c r="G44" s="128"/>
      <c r="H44" s="128"/>
      <c r="I44" s="129"/>
      <c r="J44" s="49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Y44" s="39"/>
      <c r="Z44" s="39"/>
      <c r="AA44" s="39"/>
      <c r="AB44" s="39"/>
    </row>
    <row r="45" spans="1:28" s="42" customFormat="1" ht="24.6" customHeight="1">
      <c r="A45" s="55"/>
      <c r="B45" s="49"/>
      <c r="C45" s="49"/>
      <c r="D45" s="49"/>
      <c r="E45" s="49"/>
      <c r="F45" s="46"/>
      <c r="G45" s="47"/>
      <c r="H45" s="47"/>
      <c r="I45" s="48"/>
      <c r="J45" s="49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Y45" s="39"/>
      <c r="Z45" s="39"/>
      <c r="AA45" s="39"/>
      <c r="AB45" s="39"/>
    </row>
    <row r="46" spans="1:28" s="42" customFormat="1" ht="24.6" customHeight="1">
      <c r="A46" s="55"/>
      <c r="B46" s="64" t="s">
        <v>236</v>
      </c>
      <c r="C46" s="64" t="s">
        <v>236</v>
      </c>
      <c r="D46" s="49"/>
      <c r="E46" s="49"/>
      <c r="F46" s="55"/>
      <c r="G46" s="49"/>
      <c r="H46" s="49"/>
      <c r="I46" s="51"/>
      <c r="J46" s="49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Y46" s="39"/>
      <c r="Z46" s="39"/>
      <c r="AA46" s="39"/>
      <c r="AB46" s="39"/>
    </row>
    <row r="47" spans="1:28" s="42" customFormat="1" ht="21.75" customHeight="1" thickBot="1">
      <c r="A47" s="55"/>
      <c r="B47" s="145" t="s">
        <v>315</v>
      </c>
      <c r="C47" s="64"/>
      <c r="D47" s="49"/>
      <c r="E47" s="49"/>
      <c r="F47" s="55"/>
      <c r="G47" s="49"/>
      <c r="H47" s="57"/>
      <c r="I47" s="51"/>
      <c r="J47" s="49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Y47" s="39"/>
      <c r="Z47" s="39"/>
      <c r="AA47" s="39"/>
      <c r="AB47" s="39"/>
    </row>
    <row r="48" spans="1:28" s="42" customFormat="1" ht="21.75" customHeight="1" thickBot="1">
      <c r="A48" s="55"/>
      <c r="B48" s="145"/>
      <c r="C48" s="130" t="s">
        <v>316</v>
      </c>
      <c r="D48" s="49"/>
      <c r="E48" s="49"/>
      <c r="F48" s="55"/>
      <c r="G48" s="47" t="s">
        <v>237</v>
      </c>
      <c r="H48" s="100" t="s">
        <v>238</v>
      </c>
      <c r="I48" s="51"/>
      <c r="J48" s="49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Y48" s="39"/>
      <c r="Z48" s="39"/>
      <c r="AA48" s="39"/>
      <c r="AB48" s="39"/>
    </row>
    <row r="49" spans="1:28" s="41" customFormat="1" ht="21.75" customHeight="1" thickBot="1">
      <c r="A49" s="55"/>
      <c r="B49" s="64" t="s">
        <v>239</v>
      </c>
      <c r="C49" s="64" t="s">
        <v>240</v>
      </c>
      <c r="D49" s="49"/>
      <c r="E49" s="49"/>
      <c r="F49" s="55"/>
      <c r="G49" s="60" t="s">
        <v>241</v>
      </c>
      <c r="H49" s="60"/>
      <c r="I49" s="51"/>
      <c r="J49" s="49"/>
      <c r="V49" s="42"/>
      <c r="W49" s="42"/>
      <c r="X49" s="42"/>
      <c r="Y49" s="39"/>
      <c r="Z49" s="39"/>
      <c r="AA49" s="39"/>
      <c r="AB49" s="39"/>
    </row>
    <row r="50" spans="1:28" s="41" customFormat="1" ht="28.5" customHeight="1">
      <c r="A50" s="55"/>
      <c r="B50" s="130">
        <f ca="1">G13</f>
        <v>46035</v>
      </c>
      <c r="C50" s="130">
        <f ca="1">G13</f>
        <v>46035</v>
      </c>
      <c r="D50" s="49"/>
      <c r="E50" s="49"/>
      <c r="F50" s="55"/>
      <c r="G50" s="47"/>
      <c r="H50" s="47"/>
      <c r="I50" s="51"/>
      <c r="J50" s="49"/>
      <c r="V50" s="42"/>
      <c r="W50" s="42"/>
      <c r="X50" s="42"/>
      <c r="Y50" s="39"/>
      <c r="Z50" s="39"/>
      <c r="AA50" s="39"/>
      <c r="AB50" s="39"/>
    </row>
    <row r="51" spans="1:28" s="41" customFormat="1" ht="28.5" customHeight="1" thickBot="1">
      <c r="A51" s="56"/>
      <c r="B51" s="57"/>
      <c r="C51" s="57"/>
      <c r="D51" s="57"/>
      <c r="E51" s="57"/>
      <c r="F51" s="56"/>
      <c r="G51" s="57"/>
      <c r="H51" s="57"/>
      <c r="I51" s="123"/>
      <c r="J51" s="49"/>
      <c r="V51" s="42"/>
      <c r="W51" s="42"/>
      <c r="X51" s="42"/>
      <c r="Y51" s="39"/>
      <c r="Z51" s="39"/>
      <c r="AA51" s="39"/>
      <c r="AB51" s="39"/>
    </row>
    <row r="54" spans="1:28" s="41" customFormat="1" ht="18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V54" s="42"/>
      <c r="W54" s="42"/>
      <c r="X54" s="42"/>
      <c r="Y54" s="39"/>
      <c r="Z54" s="39"/>
      <c r="AA54" s="39"/>
      <c r="AB54" s="39"/>
    </row>
    <row r="55" spans="1:28" s="41" customFormat="1" ht="18" customHeight="1">
      <c r="A55" s="49"/>
      <c r="B55" s="64"/>
      <c r="C55" s="64"/>
      <c r="D55" s="49"/>
      <c r="E55" s="49"/>
      <c r="F55" s="49"/>
      <c r="G55" s="49"/>
      <c r="H55" s="49"/>
      <c r="I55" s="49"/>
      <c r="J55" s="49"/>
      <c r="V55" s="42"/>
      <c r="W55" s="42"/>
      <c r="X55" s="42"/>
      <c r="Y55" s="39"/>
      <c r="Z55" s="39"/>
      <c r="AA55" s="39"/>
      <c r="AB55" s="39"/>
    </row>
    <row r="56" spans="1:28" s="41" customFormat="1" ht="18" customHeight="1">
      <c r="A56" s="49"/>
      <c r="B56" s="64"/>
      <c r="C56" s="64"/>
      <c r="D56" s="49"/>
      <c r="E56" s="49"/>
      <c r="F56" s="49"/>
      <c r="G56" s="49"/>
      <c r="H56" s="49"/>
      <c r="I56" s="49"/>
      <c r="J56" s="49"/>
      <c r="V56" s="42"/>
      <c r="W56" s="42"/>
      <c r="X56" s="42"/>
      <c r="Y56" s="39"/>
      <c r="Z56" s="39"/>
      <c r="AA56" s="39"/>
      <c r="AB56" s="39"/>
    </row>
    <row r="57" spans="1:28" s="41" customFormat="1" ht="18" customHeight="1">
      <c r="A57" s="49"/>
      <c r="B57" s="101"/>
      <c r="C57" s="101"/>
      <c r="D57" s="49"/>
      <c r="E57" s="49"/>
      <c r="F57" s="49"/>
      <c r="G57" s="49"/>
      <c r="H57" s="49"/>
      <c r="I57" s="49"/>
      <c r="J57" s="49"/>
      <c r="V57" s="42"/>
      <c r="W57" s="42"/>
      <c r="X57" s="42"/>
      <c r="Y57" s="39"/>
      <c r="Z57" s="39"/>
      <c r="AA57" s="39"/>
      <c r="AB57" s="39"/>
    </row>
    <row r="63" spans="1:28" s="41" customFormat="1" ht="18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V63" s="42"/>
      <c r="W63" s="42"/>
      <c r="X63" s="42"/>
      <c r="Y63" s="39"/>
      <c r="Z63" s="39"/>
      <c r="AA63" s="39"/>
      <c r="AB63" s="39"/>
    </row>
    <row r="64" spans="1:28" s="41" customFormat="1" ht="18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V64" s="42"/>
      <c r="W64" s="42"/>
      <c r="X64" s="42"/>
      <c r="Y64" s="39"/>
      <c r="Z64" s="39"/>
      <c r="AA64" s="39"/>
      <c r="AB64" s="39"/>
    </row>
    <row r="65" spans="2:3" ht="18" customHeight="1">
      <c r="B65" s="54"/>
      <c r="C65" s="54"/>
    </row>
  </sheetData>
  <mergeCells count="18">
    <mergeCell ref="B21:C22"/>
    <mergeCell ref="D21:F21"/>
    <mergeCell ref="F37:H37"/>
    <mergeCell ref="B40:E40"/>
    <mergeCell ref="G40:H40"/>
    <mergeCell ref="B24:C24"/>
    <mergeCell ref="B25:C25"/>
    <mergeCell ref="B26:C26"/>
    <mergeCell ref="B27:C27"/>
    <mergeCell ref="B28:C28"/>
    <mergeCell ref="B29:C29"/>
    <mergeCell ref="B30:C30"/>
    <mergeCell ref="B32:C32"/>
    <mergeCell ref="B41:E41"/>
    <mergeCell ref="G41:H41"/>
    <mergeCell ref="A42:E43"/>
    <mergeCell ref="F42:I43"/>
    <mergeCell ref="B47:B48"/>
  </mergeCells>
  <printOptions horizontalCentered="1"/>
  <pageMargins left="0.19685039370078741" right="0.19685039370078741" top="0.74803149606299213" bottom="0.74803149606299213" header="0.31496062992125984" footer="0.31496062992125984"/>
  <pageSetup paperSize="9" scale="50" orientation="portrait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22B7-4E62-403E-B4C5-18A229FC12A8}">
  <dimension ref="A1:K151"/>
  <sheetViews>
    <sheetView zoomScale="70" zoomScaleNormal="70" workbookViewId="0">
      <pane ySplit="4" topLeftCell="A126" activePane="bottomLeft" state="frozen"/>
      <selection activeCell="F22" sqref="F22"/>
      <selection pane="bottomLeft" activeCell="F22" sqref="F22"/>
    </sheetView>
  </sheetViews>
  <sheetFormatPr defaultColWidth="8.85546875" defaultRowHeight="32.25" customHeight="1" outlineLevelCol="1"/>
  <cols>
    <col min="1" max="1" width="7.140625" style="33" bestFit="1" customWidth="1"/>
    <col min="2" max="2" width="28.7109375" style="33" hidden="1" customWidth="1" outlineLevel="1"/>
    <col min="3" max="3" width="36.7109375" style="33" customWidth="1" collapsed="1"/>
    <col min="4" max="4" width="31.28515625" style="33" customWidth="1"/>
    <col min="5" max="5" width="36.28515625" style="33" customWidth="1"/>
    <col min="6" max="6" width="80.7109375" style="34" hidden="1" customWidth="1" outlineLevel="1"/>
    <col min="7" max="7" width="16.7109375" style="35" customWidth="1" collapsed="1"/>
    <col min="8" max="8" width="16.7109375" style="1" customWidth="1"/>
    <col min="9" max="9" width="16.7109375" style="2" hidden="1" customWidth="1" outlineLevel="1"/>
    <col min="10" max="10" width="16.7109375" style="2" customWidth="1" collapsed="1"/>
    <col min="11" max="11" width="10" style="3" bestFit="1" customWidth="1"/>
    <col min="12" max="21" width="9" style="3" bestFit="1" customWidth="1"/>
    <col min="22" max="16384" width="8.85546875" style="3"/>
  </cols>
  <sheetData>
    <row r="1" spans="1:10" ht="79.5" thickBot="1">
      <c r="A1" s="163" t="s">
        <v>0</v>
      </c>
      <c r="B1" s="163"/>
      <c r="C1" s="163"/>
      <c r="D1" s="163"/>
      <c r="E1" s="163"/>
      <c r="F1" s="163"/>
      <c r="G1" s="119" t="s">
        <v>310</v>
      </c>
    </row>
    <row r="2" spans="1:10" ht="32.25" customHeight="1" thickBot="1">
      <c r="A2" s="102"/>
      <c r="B2" s="4"/>
      <c r="C2" s="4"/>
      <c r="D2" s="4"/>
      <c r="E2" s="4"/>
      <c r="F2" s="5"/>
      <c r="G2" s="6" t="s">
        <v>1</v>
      </c>
      <c r="H2" s="7" t="s">
        <v>2</v>
      </c>
    </row>
    <row r="3" spans="1:10" ht="42.75" customHeight="1">
      <c r="A3" s="103" t="s">
        <v>3</v>
      </c>
      <c r="B3" s="8"/>
      <c r="C3" s="12" t="s">
        <v>4</v>
      </c>
      <c r="D3" s="12" t="s">
        <v>304</v>
      </c>
      <c r="E3" s="12" t="s">
        <v>305</v>
      </c>
      <c r="F3" s="9" t="s">
        <v>4</v>
      </c>
      <c r="G3" s="10" t="s">
        <v>5</v>
      </c>
      <c r="H3" s="11" t="s">
        <v>6</v>
      </c>
      <c r="I3" s="2" t="s">
        <v>7</v>
      </c>
    </row>
    <row r="4" spans="1:10" ht="24" customHeight="1">
      <c r="A4" s="104"/>
      <c r="B4" s="12"/>
      <c r="C4" s="12"/>
      <c r="D4" s="12"/>
      <c r="E4" s="12"/>
      <c r="F4" s="13" t="s">
        <v>8</v>
      </c>
      <c r="G4" s="14"/>
      <c r="H4" s="15"/>
    </row>
    <row r="5" spans="1:10" s="21" customFormat="1" ht="24" customHeight="1">
      <c r="A5" s="105" t="s">
        <v>9</v>
      </c>
      <c r="B5" s="16" t="s">
        <v>10</v>
      </c>
      <c r="C5" s="16" t="s">
        <v>291</v>
      </c>
      <c r="D5" s="16" t="s">
        <v>243</v>
      </c>
      <c r="E5" s="16" t="s">
        <v>245</v>
      </c>
      <c r="F5" s="17" t="str">
        <f>C5&amp;D5&amp;E5</f>
        <v>เหล็กแผ่นดำ SS400 - size :1200x2400mm.(4x8ฟุต)หนา 1.2 mm.</v>
      </c>
      <c r="G5" s="18">
        <v>656</v>
      </c>
      <c r="H5" s="19">
        <f t="shared" ref="H5:H68" si="0">ROUNDUP(G5/0.9,0)</f>
        <v>729</v>
      </c>
      <c r="I5" s="20"/>
      <c r="J5" s="114"/>
    </row>
    <row r="6" spans="1:10" s="21" customFormat="1" ht="24" customHeight="1">
      <c r="A6" s="105" t="s">
        <v>11</v>
      </c>
      <c r="B6" s="16" t="s">
        <v>12</v>
      </c>
      <c r="C6" s="16" t="s">
        <v>291</v>
      </c>
      <c r="D6" s="16" t="s">
        <v>243</v>
      </c>
      <c r="E6" s="16" t="s">
        <v>246</v>
      </c>
      <c r="F6" s="17" t="str">
        <f t="shared" ref="F6:F69" si="1">C6&amp;D6&amp;E6</f>
        <v>เหล็กแผ่นดำ SS400 - size :1200x2400mm.(4x8ฟุต)หนา 1.5 mm.</v>
      </c>
      <c r="G6" s="18">
        <v>795</v>
      </c>
      <c r="H6" s="19">
        <f t="shared" si="0"/>
        <v>884</v>
      </c>
      <c r="I6" s="20"/>
      <c r="J6" s="114"/>
    </row>
    <row r="7" spans="1:10" s="21" customFormat="1" ht="24" customHeight="1">
      <c r="A7" s="105" t="s">
        <v>13</v>
      </c>
      <c r="B7" s="16" t="s">
        <v>14</v>
      </c>
      <c r="C7" s="16" t="s">
        <v>291</v>
      </c>
      <c r="D7" s="16" t="s">
        <v>243</v>
      </c>
      <c r="E7" s="16" t="s">
        <v>247</v>
      </c>
      <c r="F7" s="17" t="str">
        <f t="shared" si="1"/>
        <v>เหล็กแผ่นดำ SS400 - size :1200x2400mm.(4x8ฟุต)หนา 2.0 mm.</v>
      </c>
      <c r="G7" s="18">
        <v>995</v>
      </c>
      <c r="H7" s="19">
        <f t="shared" si="0"/>
        <v>1106</v>
      </c>
      <c r="I7" s="20"/>
      <c r="J7" s="114"/>
    </row>
    <row r="8" spans="1:10" s="21" customFormat="1" ht="24" customHeight="1">
      <c r="A8" s="105" t="s">
        <v>15</v>
      </c>
      <c r="B8" s="16" t="s">
        <v>16</v>
      </c>
      <c r="C8" s="16" t="s">
        <v>291</v>
      </c>
      <c r="D8" s="16" t="s">
        <v>244</v>
      </c>
      <c r="E8" s="16" t="s">
        <v>247</v>
      </c>
      <c r="F8" s="17" t="str">
        <f t="shared" si="1"/>
        <v>เหล็กแผ่นดำ SS400 - size :1500x3000mm.(5x10ฟุต)หนา 2.0 mm.</v>
      </c>
      <c r="G8" s="18">
        <v>1970</v>
      </c>
      <c r="H8" s="19">
        <f t="shared" si="0"/>
        <v>2189</v>
      </c>
      <c r="I8" s="20"/>
      <c r="J8" s="114"/>
    </row>
    <row r="9" spans="1:10" s="21" customFormat="1" ht="24" customHeight="1">
      <c r="A9" s="105" t="s">
        <v>17</v>
      </c>
      <c r="B9" s="16" t="s">
        <v>18</v>
      </c>
      <c r="C9" s="16" t="s">
        <v>291</v>
      </c>
      <c r="D9" s="16" t="s">
        <v>243</v>
      </c>
      <c r="E9" s="16" t="s">
        <v>248</v>
      </c>
      <c r="F9" s="17" t="str">
        <f t="shared" si="1"/>
        <v>เหล็กแผ่นดำ SS400 - size :1200x2400mm.(4x8ฟุต)หนา 3.0 mm.</v>
      </c>
      <c r="G9" s="18">
        <v>1540</v>
      </c>
      <c r="H9" s="19">
        <f t="shared" si="0"/>
        <v>1712</v>
      </c>
      <c r="I9" s="20"/>
      <c r="J9" s="114"/>
    </row>
    <row r="10" spans="1:10" s="21" customFormat="1" ht="24" customHeight="1">
      <c r="A10" s="105" t="s">
        <v>19</v>
      </c>
      <c r="B10" s="16" t="s">
        <v>20</v>
      </c>
      <c r="C10" s="16" t="s">
        <v>291</v>
      </c>
      <c r="D10" s="16" t="s">
        <v>244</v>
      </c>
      <c r="E10" s="16" t="s">
        <v>248</v>
      </c>
      <c r="F10" s="17" t="str">
        <f t="shared" si="1"/>
        <v>เหล็กแผ่นดำ SS400 - size :1500x3000mm.(5x10ฟุต)หนา 3.0 mm.</v>
      </c>
      <c r="G10" s="18">
        <v>2462</v>
      </c>
      <c r="H10" s="19">
        <f t="shared" si="0"/>
        <v>2736</v>
      </c>
      <c r="I10" s="20"/>
      <c r="J10" s="114"/>
    </row>
    <row r="11" spans="1:10" s="21" customFormat="1" ht="24" customHeight="1">
      <c r="A11" s="105" t="s">
        <v>21</v>
      </c>
      <c r="B11" s="16" t="s">
        <v>22</v>
      </c>
      <c r="C11" s="16" t="s">
        <v>291</v>
      </c>
      <c r="D11" s="16" t="s">
        <v>243</v>
      </c>
      <c r="E11" s="16" t="s">
        <v>249</v>
      </c>
      <c r="F11" s="17" t="str">
        <f t="shared" si="1"/>
        <v>เหล็กแผ่นดำ SS400 - size :1200x2400mm.(4x8ฟุต)หนา 4.0 mm.</v>
      </c>
      <c r="G11" s="18">
        <v>2245</v>
      </c>
      <c r="H11" s="19">
        <f t="shared" si="0"/>
        <v>2495</v>
      </c>
      <c r="I11" s="20"/>
      <c r="J11" s="114"/>
    </row>
    <row r="12" spans="1:10" s="21" customFormat="1" ht="24" customHeight="1">
      <c r="A12" s="105" t="s">
        <v>23</v>
      </c>
      <c r="B12" s="16" t="s">
        <v>24</v>
      </c>
      <c r="C12" s="16" t="s">
        <v>291</v>
      </c>
      <c r="D12" s="16" t="s">
        <v>244</v>
      </c>
      <c r="E12" s="16" t="s">
        <v>249</v>
      </c>
      <c r="F12" s="17" t="str">
        <f t="shared" si="1"/>
        <v>เหล็กแผ่นดำ SS400 - size :1500x3000mm.(5x10ฟุต)หนา 4.0 mm.</v>
      </c>
      <c r="G12" s="18">
        <v>3250</v>
      </c>
      <c r="H12" s="19">
        <f t="shared" si="0"/>
        <v>3612</v>
      </c>
      <c r="I12" s="20"/>
      <c r="J12" s="114"/>
    </row>
    <row r="13" spans="1:10" s="21" customFormat="1" ht="24" customHeight="1">
      <c r="A13" s="105" t="s">
        <v>25</v>
      </c>
      <c r="B13" s="16" t="s">
        <v>26</v>
      </c>
      <c r="C13" s="16" t="s">
        <v>291</v>
      </c>
      <c r="D13" s="16" t="s">
        <v>243</v>
      </c>
      <c r="E13" s="16" t="s">
        <v>250</v>
      </c>
      <c r="F13" s="17" t="str">
        <f t="shared" si="1"/>
        <v>เหล็กแผ่นดำ SS400 - size :1200x2400mm.(4x8ฟุต)หนา 4.5 mm.</v>
      </c>
      <c r="G13" s="18">
        <v>3045</v>
      </c>
      <c r="H13" s="19">
        <f t="shared" si="0"/>
        <v>3384</v>
      </c>
      <c r="I13" s="20"/>
      <c r="J13" s="114"/>
    </row>
    <row r="14" spans="1:10" s="21" customFormat="1" ht="24" customHeight="1">
      <c r="A14" s="105" t="s">
        <v>27</v>
      </c>
      <c r="B14" s="16" t="s">
        <v>28</v>
      </c>
      <c r="C14" s="16" t="s">
        <v>291</v>
      </c>
      <c r="D14" s="16" t="s">
        <v>244</v>
      </c>
      <c r="E14" s="16" t="s">
        <v>250</v>
      </c>
      <c r="F14" s="17" t="str">
        <f t="shared" si="1"/>
        <v>เหล็กแผ่นดำ SS400 - size :1500x3000mm.(5x10ฟุต)หนา 4.5 mm.</v>
      </c>
      <c r="G14" s="18">
        <v>4677</v>
      </c>
      <c r="H14" s="19">
        <f t="shared" si="0"/>
        <v>5197</v>
      </c>
      <c r="I14" s="20"/>
      <c r="J14" s="114"/>
    </row>
    <row r="15" spans="1:10" s="21" customFormat="1" ht="24" customHeight="1">
      <c r="A15" s="105" t="s">
        <v>29</v>
      </c>
      <c r="B15" s="16" t="s">
        <v>30</v>
      </c>
      <c r="C15" s="16" t="s">
        <v>291</v>
      </c>
      <c r="D15" s="16" t="s">
        <v>243</v>
      </c>
      <c r="E15" s="16" t="s">
        <v>251</v>
      </c>
      <c r="F15" s="17" t="str">
        <f t="shared" si="1"/>
        <v>เหล็กแผ่นดำ SS400 - size :1200x2400mm.(4x8ฟุต)หนา 5.0 mm.</v>
      </c>
      <c r="G15" s="18">
        <v>2805</v>
      </c>
      <c r="H15" s="19">
        <f t="shared" si="0"/>
        <v>3117</v>
      </c>
      <c r="I15" s="20"/>
      <c r="J15" s="114"/>
    </row>
    <row r="16" spans="1:10" s="21" customFormat="1" ht="24" customHeight="1">
      <c r="A16" s="105" t="s">
        <v>31</v>
      </c>
      <c r="B16" s="16" t="s">
        <v>32</v>
      </c>
      <c r="C16" s="16" t="s">
        <v>291</v>
      </c>
      <c r="D16" s="16" t="s">
        <v>244</v>
      </c>
      <c r="E16" s="16" t="s">
        <v>251</v>
      </c>
      <c r="F16" s="17" t="str">
        <f t="shared" si="1"/>
        <v>เหล็กแผ่นดำ SS400 - size :1500x3000mm.(5x10ฟุต)หนา 5.0 mm.</v>
      </c>
      <c r="G16" s="18">
        <v>5600</v>
      </c>
      <c r="H16" s="19">
        <f t="shared" si="0"/>
        <v>6223</v>
      </c>
      <c r="I16" s="20"/>
      <c r="J16" s="114"/>
    </row>
    <row r="17" spans="1:10" s="21" customFormat="1" ht="24" customHeight="1">
      <c r="A17" s="105" t="s">
        <v>33</v>
      </c>
      <c r="B17" s="16" t="s">
        <v>34</v>
      </c>
      <c r="C17" s="16" t="s">
        <v>291</v>
      </c>
      <c r="D17" s="16" t="s">
        <v>243</v>
      </c>
      <c r="E17" s="16" t="s">
        <v>252</v>
      </c>
      <c r="F17" s="17" t="str">
        <f t="shared" si="1"/>
        <v>เหล็กแผ่นดำ SS400 - size :1200x2400mm.(4x8ฟุต)หนา 6.0 mm.</v>
      </c>
      <c r="G17" s="18">
        <v>3360</v>
      </c>
      <c r="H17" s="19">
        <f t="shared" si="0"/>
        <v>3734</v>
      </c>
      <c r="I17" s="20"/>
      <c r="J17" s="114"/>
    </row>
    <row r="18" spans="1:10" s="21" customFormat="1" ht="24" customHeight="1">
      <c r="A18" s="105" t="s">
        <v>35</v>
      </c>
      <c r="B18" s="16" t="s">
        <v>36</v>
      </c>
      <c r="C18" s="16" t="s">
        <v>291</v>
      </c>
      <c r="D18" s="16" t="s">
        <v>244</v>
      </c>
      <c r="E18" s="16" t="s">
        <v>252</v>
      </c>
      <c r="F18" s="17" t="str">
        <f t="shared" si="1"/>
        <v>เหล็กแผ่นดำ SS400 - size :1500x3000mm.(5x10ฟุต)หนา 6.0 mm.</v>
      </c>
      <c r="G18" s="18">
        <v>5255</v>
      </c>
      <c r="H18" s="19">
        <f t="shared" si="0"/>
        <v>5839</v>
      </c>
      <c r="I18" s="20"/>
      <c r="J18" s="114"/>
    </row>
    <row r="19" spans="1:10" s="21" customFormat="1" ht="24" customHeight="1">
      <c r="A19" s="105" t="s">
        <v>37</v>
      </c>
      <c r="B19" s="16" t="s">
        <v>56</v>
      </c>
      <c r="C19" s="16" t="s">
        <v>291</v>
      </c>
      <c r="D19" s="16" t="s">
        <v>243</v>
      </c>
      <c r="E19" s="16" t="s">
        <v>263</v>
      </c>
      <c r="F19" s="17" t="str">
        <f>C19&amp;D19&amp;E19</f>
        <v>เหล็กแผ่นดำ SS400 - size :1200x2400mm.(4x8ฟุต)หนา 6.0 mm./ลายตีนไก่ CHECKER PLATE</v>
      </c>
      <c r="G19" s="18">
        <v>23500</v>
      </c>
      <c r="H19" s="19">
        <f t="shared" si="0"/>
        <v>26112</v>
      </c>
      <c r="I19" s="20"/>
      <c r="J19" s="114"/>
    </row>
    <row r="20" spans="1:10" s="21" customFormat="1" ht="24" customHeight="1">
      <c r="A20" s="105" t="s">
        <v>39</v>
      </c>
      <c r="B20" s="16" t="s">
        <v>38</v>
      </c>
      <c r="C20" s="16" t="s">
        <v>291</v>
      </c>
      <c r="D20" s="16" t="s">
        <v>243</v>
      </c>
      <c r="E20" s="16" t="s">
        <v>253</v>
      </c>
      <c r="F20" s="17" t="str">
        <f t="shared" si="1"/>
        <v>เหล็กแผ่นดำ SS400 - size :1200x2400mm.(4x8ฟุต)หนา 8.0 mm.</v>
      </c>
      <c r="G20" s="18">
        <v>4485</v>
      </c>
      <c r="H20" s="19">
        <f t="shared" si="0"/>
        <v>4984</v>
      </c>
      <c r="I20" s="20"/>
      <c r="J20" s="114"/>
    </row>
    <row r="21" spans="1:10" s="21" customFormat="1" ht="24" customHeight="1">
      <c r="A21" s="105" t="s">
        <v>41</v>
      </c>
      <c r="B21" s="16" t="s">
        <v>40</v>
      </c>
      <c r="C21" s="16" t="s">
        <v>291</v>
      </c>
      <c r="D21" s="16" t="s">
        <v>243</v>
      </c>
      <c r="E21" s="16" t="s">
        <v>254</v>
      </c>
      <c r="F21" s="17" t="str">
        <f t="shared" si="1"/>
        <v>เหล็กแผ่นดำ SS400 - size :1200x2400mm.(4x8ฟุต)หนา 9.0 mm.</v>
      </c>
      <c r="G21" s="18">
        <v>5040</v>
      </c>
      <c r="H21" s="19">
        <f t="shared" si="0"/>
        <v>5600</v>
      </c>
      <c r="I21" s="20"/>
      <c r="J21" s="114"/>
    </row>
    <row r="22" spans="1:10" s="21" customFormat="1" ht="24" customHeight="1">
      <c r="A22" s="105" t="s">
        <v>43</v>
      </c>
      <c r="B22" s="16" t="s">
        <v>42</v>
      </c>
      <c r="C22" s="16" t="s">
        <v>291</v>
      </c>
      <c r="D22" s="16" t="s">
        <v>243</v>
      </c>
      <c r="E22" s="16" t="s">
        <v>255</v>
      </c>
      <c r="F22" s="17" t="str">
        <f t="shared" si="1"/>
        <v>เหล็กแผ่นดำ SS400 - size :1200x2400mm.(4x8ฟุต)หนา 10.0 mm.</v>
      </c>
      <c r="G22" s="18">
        <v>5252</v>
      </c>
      <c r="H22" s="19">
        <f t="shared" si="0"/>
        <v>5836</v>
      </c>
      <c r="I22" s="20"/>
      <c r="J22" s="114"/>
    </row>
    <row r="23" spans="1:10" s="21" customFormat="1" ht="24" customHeight="1">
      <c r="A23" s="105" t="s">
        <v>45</v>
      </c>
      <c r="B23" s="16" t="s">
        <v>44</v>
      </c>
      <c r="C23" s="16" t="s">
        <v>291</v>
      </c>
      <c r="D23" s="16" t="s">
        <v>244</v>
      </c>
      <c r="E23" s="16" t="s">
        <v>255</v>
      </c>
      <c r="F23" s="17" t="str">
        <f t="shared" si="1"/>
        <v>เหล็กแผ่นดำ SS400 - size :1500x3000mm.(5x10ฟุต)หนา 10.0 mm.</v>
      </c>
      <c r="G23" s="18">
        <v>6305</v>
      </c>
      <c r="H23" s="19">
        <f t="shared" si="0"/>
        <v>7006</v>
      </c>
      <c r="I23" s="20"/>
      <c r="J23" s="114"/>
    </row>
    <row r="24" spans="1:10" s="21" customFormat="1" ht="24" customHeight="1">
      <c r="A24" s="105" t="s">
        <v>47</v>
      </c>
      <c r="B24" s="16" t="s">
        <v>46</v>
      </c>
      <c r="C24" s="16" t="s">
        <v>291</v>
      </c>
      <c r="D24" s="16" t="s">
        <v>243</v>
      </c>
      <c r="E24" s="16" t="s">
        <v>256</v>
      </c>
      <c r="F24" s="17" t="str">
        <f t="shared" si="1"/>
        <v>เหล็กแผ่นดำ SS400 - size :1200x2400mm.(4x8ฟุต)หนา 12.0 mm.</v>
      </c>
      <c r="G24" s="18">
        <v>6162</v>
      </c>
      <c r="H24" s="19">
        <f t="shared" si="0"/>
        <v>6847</v>
      </c>
      <c r="I24" s="20"/>
      <c r="J24" s="114"/>
    </row>
    <row r="25" spans="1:10" s="21" customFormat="1" ht="24" customHeight="1">
      <c r="A25" s="105" t="s">
        <v>49</v>
      </c>
      <c r="B25" s="16" t="s">
        <v>48</v>
      </c>
      <c r="C25" s="16" t="s">
        <v>291</v>
      </c>
      <c r="D25" s="16" t="s">
        <v>244</v>
      </c>
      <c r="E25" s="16" t="s">
        <v>256</v>
      </c>
      <c r="F25" s="17" t="str">
        <f t="shared" si="1"/>
        <v>เหล็กแผ่นดำ SS400 - size :1500x3000mm.(5x10ฟุต)หนา 12.0 mm.</v>
      </c>
      <c r="G25" s="18">
        <v>15980</v>
      </c>
      <c r="H25" s="19">
        <f t="shared" si="0"/>
        <v>17756</v>
      </c>
      <c r="I25" s="20"/>
      <c r="J25" s="114"/>
    </row>
    <row r="26" spans="1:10" s="21" customFormat="1" ht="24" customHeight="1">
      <c r="A26" s="105" t="s">
        <v>51</v>
      </c>
      <c r="B26" s="16" t="s">
        <v>52</v>
      </c>
      <c r="C26" s="16" t="s">
        <v>291</v>
      </c>
      <c r="D26" s="16" t="s">
        <v>243</v>
      </c>
      <c r="E26" s="16" t="s">
        <v>258</v>
      </c>
      <c r="F26" s="17" t="str">
        <f t="shared" si="1"/>
        <v>เหล็กแผ่นดำ SS400 - size :1200x2400mm.(4x8ฟุต)หนา 15.0 mm.</v>
      </c>
      <c r="G26" s="18">
        <v>11030</v>
      </c>
      <c r="H26" s="19">
        <f t="shared" si="0"/>
        <v>12256</v>
      </c>
      <c r="I26" s="20"/>
      <c r="J26" s="114"/>
    </row>
    <row r="27" spans="1:10" s="21" customFormat="1" ht="24" customHeight="1">
      <c r="A27" s="105" t="s">
        <v>53</v>
      </c>
      <c r="B27" s="16" t="s">
        <v>54</v>
      </c>
      <c r="C27" s="16" t="s">
        <v>291</v>
      </c>
      <c r="D27" s="16" t="s">
        <v>244</v>
      </c>
      <c r="E27" s="16" t="s">
        <v>258</v>
      </c>
      <c r="F27" s="17" t="str">
        <f t="shared" si="1"/>
        <v>เหล็กแผ่นดำ SS400 - size :1500x3000mm.(5x10ฟุต)หนา 15.0 mm.</v>
      </c>
      <c r="G27" s="18">
        <v>19750</v>
      </c>
      <c r="H27" s="19">
        <f t="shared" si="0"/>
        <v>21945</v>
      </c>
      <c r="I27" s="20"/>
      <c r="J27" s="114"/>
    </row>
    <row r="28" spans="1:10" s="21" customFormat="1" ht="24" customHeight="1">
      <c r="A28" s="105" t="s">
        <v>55</v>
      </c>
      <c r="B28" s="16" t="s">
        <v>58</v>
      </c>
      <c r="C28" s="16" t="s">
        <v>291</v>
      </c>
      <c r="D28" s="16" t="s">
        <v>243</v>
      </c>
      <c r="E28" s="16" t="s">
        <v>259</v>
      </c>
      <c r="F28" s="17" t="str">
        <f>C28&amp;D28&amp;E28</f>
        <v>เหล็กแผ่นดำ SS400 - size :1200x2400mm.(4x8ฟุต)หนา 16.0 mm.</v>
      </c>
      <c r="G28" s="18">
        <v>11100</v>
      </c>
      <c r="H28" s="19">
        <f t="shared" si="0"/>
        <v>12334</v>
      </c>
      <c r="I28" s="20"/>
      <c r="J28" s="114"/>
    </row>
    <row r="29" spans="1:10" s="21" customFormat="1" ht="24" customHeight="1">
      <c r="A29" s="105" t="s">
        <v>57</v>
      </c>
      <c r="B29" s="16" t="s">
        <v>50</v>
      </c>
      <c r="C29" s="16" t="s">
        <v>291</v>
      </c>
      <c r="D29" s="16" t="s">
        <v>243</v>
      </c>
      <c r="E29" s="16" t="s">
        <v>257</v>
      </c>
      <c r="F29" s="17" t="str">
        <f>C29&amp;D29&amp;E29</f>
        <v>เหล็กแผ่นดำ SS400 - size :1200x2400mm.(4x8ฟุต)หนา 20.0 mm.</v>
      </c>
      <c r="G29" s="18">
        <v>14620</v>
      </c>
      <c r="H29" s="19">
        <f t="shared" si="0"/>
        <v>16245</v>
      </c>
      <c r="I29" s="20"/>
      <c r="J29" s="114"/>
    </row>
    <row r="30" spans="1:10" ht="24" customHeight="1">
      <c r="A30" s="106"/>
      <c r="B30" s="22"/>
      <c r="C30" s="22"/>
      <c r="D30" s="22"/>
      <c r="E30" s="22"/>
      <c r="F30" s="23" t="s">
        <v>59</v>
      </c>
      <c r="G30" s="24"/>
      <c r="H30" s="25"/>
      <c r="J30" s="114"/>
    </row>
    <row r="31" spans="1:10" ht="24" customHeight="1">
      <c r="A31" s="107" t="s">
        <v>9</v>
      </c>
      <c r="B31" s="16" t="s">
        <v>60</v>
      </c>
      <c r="C31" s="16" t="s">
        <v>292</v>
      </c>
      <c r="D31" s="16" t="s">
        <v>243</v>
      </c>
      <c r="E31" s="16" t="s">
        <v>260</v>
      </c>
      <c r="F31" s="17" t="str">
        <f t="shared" si="1"/>
        <v>เหล็กแผ่นซุปซิ๊งค์  SECC - size :1200x2400mm.(4x8ฟุต)หนา 0.5 mm.</v>
      </c>
      <c r="G31" s="18">
        <v>440</v>
      </c>
      <c r="H31" s="19">
        <f t="shared" si="0"/>
        <v>489</v>
      </c>
      <c r="J31" s="114"/>
    </row>
    <row r="32" spans="1:10" ht="24" customHeight="1">
      <c r="A32" s="107" t="s">
        <v>11</v>
      </c>
      <c r="B32" s="16" t="s">
        <v>61</v>
      </c>
      <c r="C32" s="16" t="s">
        <v>292</v>
      </c>
      <c r="D32" s="16" t="s">
        <v>243</v>
      </c>
      <c r="E32" s="16" t="s">
        <v>261</v>
      </c>
      <c r="F32" s="17" t="str">
        <f t="shared" si="1"/>
        <v>เหล็กแผ่นซุปซิ๊งค์  SECC - size :1200x2400mm.(4x8ฟุต)หนา 0.8 mm.</v>
      </c>
      <c r="G32" s="18">
        <v>687</v>
      </c>
      <c r="H32" s="19">
        <f t="shared" si="0"/>
        <v>764</v>
      </c>
      <c r="J32" s="114"/>
    </row>
    <row r="33" spans="1:10" ht="24" customHeight="1">
      <c r="A33" s="107" t="s">
        <v>13</v>
      </c>
      <c r="B33" s="16" t="s">
        <v>62</v>
      </c>
      <c r="C33" s="16" t="s">
        <v>292</v>
      </c>
      <c r="D33" s="16" t="s">
        <v>243</v>
      </c>
      <c r="E33" s="16" t="s">
        <v>262</v>
      </c>
      <c r="F33" s="17" t="str">
        <f t="shared" si="1"/>
        <v>เหล็กแผ่นซุปซิ๊งค์  SECC - size :1200x2400mm.(4x8ฟุต)หนา 1.0 mm.</v>
      </c>
      <c r="G33" s="18">
        <v>785</v>
      </c>
      <c r="H33" s="19">
        <f t="shared" si="0"/>
        <v>873</v>
      </c>
      <c r="J33" s="114"/>
    </row>
    <row r="34" spans="1:10" ht="24" customHeight="1">
      <c r="A34" s="107" t="s">
        <v>15</v>
      </c>
      <c r="B34" s="16" t="s">
        <v>63</v>
      </c>
      <c r="C34" s="16" t="s">
        <v>292</v>
      </c>
      <c r="D34" s="16" t="s">
        <v>243</v>
      </c>
      <c r="E34" s="16" t="s">
        <v>245</v>
      </c>
      <c r="F34" s="17" t="str">
        <f t="shared" si="1"/>
        <v>เหล็กแผ่นซุปซิ๊งค์  SECC - size :1200x2400mm.(4x8ฟุต)หนา 1.2 mm.</v>
      </c>
      <c r="G34" s="18">
        <v>966</v>
      </c>
      <c r="H34" s="19">
        <f t="shared" si="0"/>
        <v>1074</v>
      </c>
      <c r="J34" s="114"/>
    </row>
    <row r="35" spans="1:10" ht="24" customHeight="1">
      <c r="A35" s="107" t="s">
        <v>17</v>
      </c>
      <c r="B35" s="16" t="s">
        <v>64</v>
      </c>
      <c r="C35" s="16" t="s">
        <v>292</v>
      </c>
      <c r="D35" s="16" t="s">
        <v>243</v>
      </c>
      <c r="E35" s="16" t="s">
        <v>246</v>
      </c>
      <c r="F35" s="17" t="str">
        <f t="shared" si="1"/>
        <v>เหล็กแผ่นซุปซิ๊งค์  SECC - size :1200x2400mm.(4x8ฟุต)หนา 1.5 mm.</v>
      </c>
      <c r="G35" s="18">
        <v>1160</v>
      </c>
      <c r="H35" s="19">
        <f t="shared" si="0"/>
        <v>1289</v>
      </c>
      <c r="J35" s="114"/>
    </row>
    <row r="36" spans="1:10" ht="24" customHeight="1">
      <c r="A36" s="107" t="s">
        <v>19</v>
      </c>
      <c r="B36" s="16" t="s">
        <v>65</v>
      </c>
      <c r="C36" s="16" t="s">
        <v>292</v>
      </c>
      <c r="D36" s="16" t="s">
        <v>243</v>
      </c>
      <c r="E36" s="16" t="s">
        <v>247</v>
      </c>
      <c r="F36" s="17" t="str">
        <f t="shared" si="1"/>
        <v>เหล็กแผ่นซุปซิ๊งค์  SECC - size :1200x2400mm.(4x8ฟุต)หนา 2.0 mm.</v>
      </c>
      <c r="G36" s="18">
        <v>1600</v>
      </c>
      <c r="H36" s="19">
        <f t="shared" si="0"/>
        <v>1778</v>
      </c>
      <c r="J36" s="114"/>
    </row>
    <row r="37" spans="1:10" ht="24" customHeight="1">
      <c r="A37" s="107" t="s">
        <v>21</v>
      </c>
      <c r="B37" s="16" t="s">
        <v>66</v>
      </c>
      <c r="C37" s="16" t="s">
        <v>292</v>
      </c>
      <c r="D37" s="16" t="s">
        <v>243</v>
      </c>
      <c r="E37" s="16" t="s">
        <v>248</v>
      </c>
      <c r="F37" s="17" t="str">
        <f t="shared" si="1"/>
        <v>เหล็กแผ่นซุปซิ๊งค์  SECC - size :1200x2400mm.(4x8ฟุต)หนา 3.0 mm.</v>
      </c>
      <c r="G37" s="18">
        <v>3059</v>
      </c>
      <c r="H37" s="19">
        <f t="shared" si="0"/>
        <v>3399</v>
      </c>
      <c r="J37" s="114"/>
    </row>
    <row r="38" spans="1:10" ht="24" customHeight="1">
      <c r="A38" s="107" t="s">
        <v>23</v>
      </c>
      <c r="B38" s="16" t="s">
        <v>67</v>
      </c>
      <c r="C38" s="16" t="s">
        <v>292</v>
      </c>
      <c r="D38" s="16" t="s">
        <v>243</v>
      </c>
      <c r="E38" s="16" t="s">
        <v>264</v>
      </c>
      <c r="F38" s="17" t="str">
        <f t="shared" si="1"/>
        <v>เหล็กแผ่นซุปซิ๊งค์  SECC - size :1200x2400mm.(4x8ฟุต)หนา 2.0 mm./ลาย</v>
      </c>
      <c r="G38" s="18">
        <v>3069</v>
      </c>
      <c r="H38" s="19">
        <f t="shared" si="0"/>
        <v>3410</v>
      </c>
      <c r="J38" s="114"/>
    </row>
    <row r="39" spans="1:10" ht="24" customHeight="1">
      <c r="A39" s="107" t="s">
        <v>25</v>
      </c>
      <c r="B39" s="16" t="s">
        <v>68</v>
      </c>
      <c r="C39" s="16" t="s">
        <v>292</v>
      </c>
      <c r="D39" s="16" t="s">
        <v>243</v>
      </c>
      <c r="E39" s="16" t="s">
        <v>265</v>
      </c>
      <c r="F39" s="17" t="str">
        <f t="shared" si="1"/>
        <v>เหล็กแผ่นซุปซิ๊งค์  SECC - size :1200x2400mm.(4x8ฟุต)หนา 3.0 mm./ลาย</v>
      </c>
      <c r="G39" s="18">
        <v>3760</v>
      </c>
      <c r="H39" s="19">
        <f t="shared" si="0"/>
        <v>4178</v>
      </c>
      <c r="J39" s="114"/>
    </row>
    <row r="40" spans="1:10" ht="24" customHeight="1">
      <c r="A40" s="107" t="s">
        <v>27</v>
      </c>
      <c r="B40" s="16" t="s">
        <v>69</v>
      </c>
      <c r="C40" s="16" t="s">
        <v>292</v>
      </c>
      <c r="D40" s="16" t="s">
        <v>243</v>
      </c>
      <c r="E40" s="16" t="s">
        <v>266</v>
      </c>
      <c r="F40" s="17" t="str">
        <f t="shared" si="1"/>
        <v>เหล็กแผ่นซุปซิ๊งค์  SECC - size :1200x2400mm.(4x8ฟุต)หนา 0.9 mm./ขาว</v>
      </c>
      <c r="G40" s="18">
        <v>545</v>
      </c>
      <c r="H40" s="19">
        <f t="shared" si="0"/>
        <v>606</v>
      </c>
      <c r="J40" s="114"/>
    </row>
    <row r="41" spans="1:10" ht="24" customHeight="1">
      <c r="A41" s="107" t="s">
        <v>29</v>
      </c>
      <c r="B41" s="16" t="s">
        <v>70</v>
      </c>
      <c r="C41" s="16" t="s">
        <v>292</v>
      </c>
      <c r="D41" s="16" t="s">
        <v>243</v>
      </c>
      <c r="E41" s="16" t="s">
        <v>267</v>
      </c>
      <c r="F41" s="17" t="str">
        <f t="shared" si="1"/>
        <v>เหล็กแผ่นซุปซิ๊งค์  SECC - size :1200x2400mm.(4x8ฟุต)หนา 1.0 mm./ขาว</v>
      </c>
      <c r="G41" s="18">
        <v>590</v>
      </c>
      <c r="H41" s="19">
        <f t="shared" si="0"/>
        <v>656</v>
      </c>
      <c r="J41" s="114"/>
    </row>
    <row r="42" spans="1:10" ht="24" customHeight="1">
      <c r="A42" s="107" t="s">
        <v>29</v>
      </c>
      <c r="B42" s="16" t="s">
        <v>71</v>
      </c>
      <c r="C42" s="16" t="s">
        <v>292</v>
      </c>
      <c r="D42" s="16" t="s">
        <v>243</v>
      </c>
      <c r="E42" s="16" t="s">
        <v>268</v>
      </c>
      <c r="F42" s="17" t="str">
        <f t="shared" si="1"/>
        <v>เหล็กแผ่นซุปซิ๊งค์  SECC - size :1200x2400mm.(4x8ฟุต)หนา 1.5 mm./สังกะสีเรียบ</v>
      </c>
      <c r="G42" s="18">
        <v>1680</v>
      </c>
      <c r="H42" s="19">
        <f t="shared" si="0"/>
        <v>1867</v>
      </c>
      <c r="J42" s="114"/>
    </row>
    <row r="43" spans="1:10" ht="24" customHeight="1">
      <c r="A43" s="104"/>
      <c r="B43" s="12"/>
      <c r="C43" s="12"/>
      <c r="D43" s="12"/>
      <c r="E43" s="12"/>
      <c r="F43" s="13" t="s">
        <v>72</v>
      </c>
      <c r="G43" s="24"/>
      <c r="H43" s="25"/>
      <c r="J43" s="114"/>
    </row>
    <row r="44" spans="1:10" ht="24" customHeight="1">
      <c r="A44" s="105" t="s">
        <v>9</v>
      </c>
      <c r="B44" s="16" t="s">
        <v>73</v>
      </c>
      <c r="C44" s="16" t="s">
        <v>293</v>
      </c>
      <c r="D44" s="16" t="s">
        <v>243</v>
      </c>
      <c r="E44" s="16" t="s">
        <v>261</v>
      </c>
      <c r="F44" s="17" t="str">
        <f t="shared" si="1"/>
        <v>แผ่นสแตนเลส SUS 304 2B - size :1200x2400mm.(4x8ฟุต)หนา 0.8 mm.</v>
      </c>
      <c r="G44" s="18">
        <v>1730</v>
      </c>
      <c r="H44" s="19">
        <f t="shared" si="0"/>
        <v>1923</v>
      </c>
      <c r="J44" s="114"/>
    </row>
    <row r="45" spans="1:10" ht="24" customHeight="1">
      <c r="A45" s="105" t="s">
        <v>11</v>
      </c>
      <c r="B45" s="16" t="s">
        <v>74</v>
      </c>
      <c r="C45" s="16" t="s">
        <v>293</v>
      </c>
      <c r="D45" s="16" t="s">
        <v>243</v>
      </c>
      <c r="E45" s="16" t="s">
        <v>262</v>
      </c>
      <c r="F45" s="17" t="str">
        <f t="shared" si="1"/>
        <v>แผ่นสแตนเลส SUS 304 2B - size :1200x2400mm.(4x8ฟุต)หนา 1.0 mm.</v>
      </c>
      <c r="G45" s="18">
        <v>2150</v>
      </c>
      <c r="H45" s="19">
        <f t="shared" si="0"/>
        <v>2389</v>
      </c>
      <c r="J45" s="114"/>
    </row>
    <row r="46" spans="1:10" ht="24" customHeight="1">
      <c r="A46" s="105" t="s">
        <v>13</v>
      </c>
      <c r="B46" s="16" t="s">
        <v>75</v>
      </c>
      <c r="C46" s="16" t="s">
        <v>293</v>
      </c>
      <c r="D46" s="16" t="s">
        <v>244</v>
      </c>
      <c r="E46" s="16" t="s">
        <v>262</v>
      </c>
      <c r="F46" s="17" t="str">
        <f t="shared" si="1"/>
        <v>แผ่นสแตนเลส SUS 304 2B - size :1500x3000mm.(5x10ฟุต)หนา 1.0 mm.</v>
      </c>
      <c r="G46" s="18">
        <v>2400</v>
      </c>
      <c r="H46" s="19">
        <f t="shared" si="0"/>
        <v>2667</v>
      </c>
      <c r="J46" s="114"/>
    </row>
    <row r="47" spans="1:10" ht="24" customHeight="1">
      <c r="A47" s="105" t="s">
        <v>15</v>
      </c>
      <c r="B47" s="16" t="s">
        <v>76</v>
      </c>
      <c r="C47" s="16" t="s">
        <v>293</v>
      </c>
      <c r="D47" s="16" t="s">
        <v>243</v>
      </c>
      <c r="E47" s="16" t="s">
        <v>245</v>
      </c>
      <c r="F47" s="17" t="str">
        <f t="shared" si="1"/>
        <v>แผ่นสแตนเลส SUS 304 2B - size :1200x2400mm.(4x8ฟุต)หนา 1.2 mm.</v>
      </c>
      <c r="G47" s="18">
        <v>2050</v>
      </c>
      <c r="H47" s="19">
        <f t="shared" si="0"/>
        <v>2278</v>
      </c>
      <c r="J47" s="114"/>
    </row>
    <row r="48" spans="1:10" ht="24" customHeight="1">
      <c r="A48" s="105" t="s">
        <v>17</v>
      </c>
      <c r="B48" s="16" t="s">
        <v>77</v>
      </c>
      <c r="C48" s="16" t="s">
        <v>293</v>
      </c>
      <c r="D48" s="16" t="s">
        <v>269</v>
      </c>
      <c r="E48" s="16" t="s">
        <v>245</v>
      </c>
      <c r="F48" s="17" t="str">
        <f t="shared" si="1"/>
        <v>แผ่นสแตนเลส SUS 304 2B - size :1200x3000mm.(4x10ฟุต)หนา 1.2 mm.</v>
      </c>
      <c r="G48" s="18">
        <v>3200</v>
      </c>
      <c r="H48" s="19">
        <f t="shared" si="0"/>
        <v>3556</v>
      </c>
      <c r="J48" s="114"/>
    </row>
    <row r="49" spans="1:10" ht="24" customHeight="1">
      <c r="A49" s="105" t="s">
        <v>19</v>
      </c>
      <c r="B49" s="16" t="s">
        <v>78</v>
      </c>
      <c r="C49" s="16" t="s">
        <v>293</v>
      </c>
      <c r="D49" s="16" t="s">
        <v>244</v>
      </c>
      <c r="E49" s="16" t="s">
        <v>245</v>
      </c>
      <c r="F49" s="17" t="str">
        <f t="shared" si="1"/>
        <v>แผ่นสแตนเลส SUS 304 2B - size :1500x3000mm.(5x10ฟุต)หนา 1.2 mm.</v>
      </c>
      <c r="G49" s="18">
        <v>3450</v>
      </c>
      <c r="H49" s="19">
        <f t="shared" si="0"/>
        <v>3834</v>
      </c>
      <c r="J49" s="114"/>
    </row>
    <row r="50" spans="1:10" ht="24" customHeight="1">
      <c r="A50" s="105" t="s">
        <v>21</v>
      </c>
      <c r="B50" s="16" t="s">
        <v>79</v>
      </c>
      <c r="C50" s="16" t="s">
        <v>293</v>
      </c>
      <c r="D50" s="16" t="s">
        <v>243</v>
      </c>
      <c r="E50" s="16" t="s">
        <v>246</v>
      </c>
      <c r="F50" s="17" t="str">
        <f t="shared" si="1"/>
        <v>แผ่นสแตนเลส SUS 304 2B - size :1200x2400mm.(4x8ฟุต)หนา 1.5 mm.</v>
      </c>
      <c r="G50" s="18">
        <v>2560</v>
      </c>
      <c r="H50" s="19">
        <f t="shared" si="0"/>
        <v>2845</v>
      </c>
      <c r="J50" s="114"/>
    </row>
    <row r="51" spans="1:10" ht="24" customHeight="1">
      <c r="A51" s="105" t="s">
        <v>23</v>
      </c>
      <c r="B51" s="16" t="s">
        <v>80</v>
      </c>
      <c r="C51" s="16" t="s">
        <v>293</v>
      </c>
      <c r="D51" s="16" t="s">
        <v>269</v>
      </c>
      <c r="E51" s="16" t="s">
        <v>246</v>
      </c>
      <c r="F51" s="17" t="str">
        <f t="shared" si="1"/>
        <v>แผ่นสแตนเลส SUS 304 2B - size :1200x3000mm.(4x10ฟุต)หนา 1.5 mm.</v>
      </c>
      <c r="G51" s="18">
        <v>3600</v>
      </c>
      <c r="H51" s="19">
        <f t="shared" si="0"/>
        <v>4000</v>
      </c>
      <c r="J51" s="114"/>
    </row>
    <row r="52" spans="1:10" ht="24" customHeight="1">
      <c r="A52" s="105" t="s">
        <v>25</v>
      </c>
      <c r="B52" s="16" t="s">
        <v>81</v>
      </c>
      <c r="C52" s="16" t="s">
        <v>293</v>
      </c>
      <c r="D52" s="16" t="s">
        <v>244</v>
      </c>
      <c r="E52" s="16" t="s">
        <v>246</v>
      </c>
      <c r="F52" s="17" t="str">
        <f t="shared" si="1"/>
        <v>แผ่นสแตนเลส SUS 304 2B - size :1500x3000mm.(5x10ฟุต)หนา 1.5 mm.</v>
      </c>
      <c r="G52" s="18">
        <v>4100</v>
      </c>
      <c r="H52" s="19">
        <f t="shared" si="0"/>
        <v>4556</v>
      </c>
      <c r="J52" s="114"/>
    </row>
    <row r="53" spans="1:10" ht="24" customHeight="1">
      <c r="A53" s="105" t="s">
        <v>27</v>
      </c>
      <c r="B53" s="16" t="s">
        <v>82</v>
      </c>
      <c r="C53" s="16" t="s">
        <v>294</v>
      </c>
      <c r="D53" s="16" t="s">
        <v>243</v>
      </c>
      <c r="E53" s="16" t="s">
        <v>246</v>
      </c>
      <c r="F53" s="17" t="str">
        <f t="shared" si="1"/>
        <v>แผ่นสแตนเลส SUS 316 2B - size :1200x2400mm.(4x8ฟุต)หนา 1.5 mm.</v>
      </c>
      <c r="G53" s="18">
        <v>4800</v>
      </c>
      <c r="H53" s="19">
        <f t="shared" si="0"/>
        <v>5334</v>
      </c>
      <c r="J53" s="114"/>
    </row>
    <row r="54" spans="1:10" ht="24" customHeight="1">
      <c r="A54" s="105" t="s">
        <v>29</v>
      </c>
      <c r="B54" s="16" t="s">
        <v>83</v>
      </c>
      <c r="C54" s="16" t="s">
        <v>294</v>
      </c>
      <c r="D54" s="16" t="s">
        <v>244</v>
      </c>
      <c r="E54" s="16" t="s">
        <v>246</v>
      </c>
      <c r="F54" s="17" t="str">
        <f t="shared" si="1"/>
        <v>แผ่นสแตนเลส SUS 316 2B - size :1500x3000mm.(5x10ฟุต)หนา 1.5 mm.</v>
      </c>
      <c r="G54" s="18">
        <v>4800</v>
      </c>
      <c r="H54" s="19">
        <f t="shared" si="0"/>
        <v>5334</v>
      </c>
      <c r="J54" s="114"/>
    </row>
    <row r="55" spans="1:10" ht="24" customHeight="1">
      <c r="A55" s="105" t="s">
        <v>31</v>
      </c>
      <c r="B55" s="16" t="s">
        <v>84</v>
      </c>
      <c r="C55" s="16" t="s">
        <v>293</v>
      </c>
      <c r="D55" s="16" t="s">
        <v>243</v>
      </c>
      <c r="E55" s="16" t="s">
        <v>247</v>
      </c>
      <c r="F55" s="17" t="str">
        <f t="shared" si="1"/>
        <v>แผ่นสแตนเลส SUS 304 2B - size :1200x2400mm.(4x8ฟุต)หนา 2.0 mm.</v>
      </c>
      <c r="G55" s="18">
        <v>3300</v>
      </c>
      <c r="H55" s="19">
        <f t="shared" si="0"/>
        <v>3667</v>
      </c>
      <c r="J55" s="114"/>
    </row>
    <row r="56" spans="1:10" ht="24" customHeight="1">
      <c r="A56" s="105" t="s">
        <v>33</v>
      </c>
      <c r="B56" s="16" t="s">
        <v>85</v>
      </c>
      <c r="C56" s="16" t="s">
        <v>293</v>
      </c>
      <c r="D56" s="16" t="s">
        <v>244</v>
      </c>
      <c r="E56" s="16" t="s">
        <v>247</v>
      </c>
      <c r="F56" s="17" t="str">
        <f t="shared" si="1"/>
        <v>แผ่นสแตนเลส SUS 304 2B - size :1500x3000mm.(5x10ฟุต)หนา 2.0 mm.</v>
      </c>
      <c r="G56" s="18">
        <v>5500</v>
      </c>
      <c r="H56" s="19">
        <f t="shared" si="0"/>
        <v>6112</v>
      </c>
      <c r="J56" s="114"/>
    </row>
    <row r="57" spans="1:10" ht="24" customHeight="1">
      <c r="A57" s="105" t="s">
        <v>35</v>
      </c>
      <c r="B57" s="16" t="s">
        <v>86</v>
      </c>
      <c r="C57" s="16" t="s">
        <v>293</v>
      </c>
      <c r="D57" s="16" t="s">
        <v>243</v>
      </c>
      <c r="E57" s="16" t="s">
        <v>248</v>
      </c>
      <c r="F57" s="17" t="str">
        <f t="shared" si="1"/>
        <v>แผ่นสแตนเลส SUS 304 2B - size :1200x2400mm.(4x8ฟุต)หนา 3.0 mm.</v>
      </c>
      <c r="G57" s="18">
        <v>5400</v>
      </c>
      <c r="H57" s="19">
        <f t="shared" si="0"/>
        <v>6000</v>
      </c>
      <c r="J57" s="114"/>
    </row>
    <row r="58" spans="1:10" s="27" customFormat="1" ht="24" customHeight="1">
      <c r="A58" s="105" t="s">
        <v>37</v>
      </c>
      <c r="B58" s="16" t="s">
        <v>87</v>
      </c>
      <c r="C58" s="16" t="s">
        <v>293</v>
      </c>
      <c r="D58" s="16" t="s">
        <v>269</v>
      </c>
      <c r="E58" s="16" t="s">
        <v>248</v>
      </c>
      <c r="F58" s="17" t="str">
        <f t="shared" si="1"/>
        <v>แผ่นสแตนเลส SUS 304 2B - size :1200x3000mm.(4x10ฟุต)หนา 3.0 mm.</v>
      </c>
      <c r="G58" s="18">
        <v>7800</v>
      </c>
      <c r="H58" s="19">
        <f t="shared" si="0"/>
        <v>8667</v>
      </c>
      <c r="I58" s="26"/>
      <c r="J58" s="114"/>
    </row>
    <row r="59" spans="1:10" s="27" customFormat="1" ht="24" customHeight="1">
      <c r="A59" s="105" t="s">
        <v>39</v>
      </c>
      <c r="B59" s="16" t="s">
        <v>87</v>
      </c>
      <c r="C59" s="16" t="s">
        <v>293</v>
      </c>
      <c r="D59" s="16" t="s">
        <v>244</v>
      </c>
      <c r="E59" s="16" t="s">
        <v>248</v>
      </c>
      <c r="F59" s="17" t="str">
        <f t="shared" si="1"/>
        <v>แผ่นสแตนเลส SUS 304 2B - size :1500x3000mm.(5x10ฟุต)หนา 3.0 mm.</v>
      </c>
      <c r="G59" s="18">
        <v>12300</v>
      </c>
      <c r="H59" s="19">
        <f t="shared" si="0"/>
        <v>13667</v>
      </c>
      <c r="I59" s="26"/>
      <c r="J59" s="114"/>
    </row>
    <row r="60" spans="1:10" ht="24" customHeight="1">
      <c r="A60" s="105" t="s">
        <v>41</v>
      </c>
      <c r="B60" s="16" t="s">
        <v>88</v>
      </c>
      <c r="C60" s="16" t="s">
        <v>293</v>
      </c>
      <c r="D60" s="16" t="s">
        <v>243</v>
      </c>
      <c r="E60" s="16" t="s">
        <v>249</v>
      </c>
      <c r="F60" s="17" t="str">
        <f t="shared" si="1"/>
        <v>แผ่นสแตนเลส SUS 304 2B - size :1200x2400mm.(4x8ฟุต)หนา 4.0 mm.</v>
      </c>
      <c r="G60" s="18">
        <v>11300</v>
      </c>
      <c r="H60" s="19">
        <f t="shared" si="0"/>
        <v>12556</v>
      </c>
      <c r="J60" s="114"/>
    </row>
    <row r="61" spans="1:10" s="27" customFormat="1" ht="24" customHeight="1">
      <c r="A61" s="105" t="s">
        <v>43</v>
      </c>
      <c r="B61" s="16" t="s">
        <v>89</v>
      </c>
      <c r="C61" s="16" t="s">
        <v>293</v>
      </c>
      <c r="D61" s="16" t="s">
        <v>243</v>
      </c>
      <c r="E61" s="16" t="s">
        <v>251</v>
      </c>
      <c r="F61" s="17" t="str">
        <f t="shared" si="1"/>
        <v>แผ่นสแตนเลส SUS 304 2B - size :1200x2400mm.(4x8ฟุต)หนา 5.0 mm.</v>
      </c>
      <c r="G61" s="18">
        <v>14150</v>
      </c>
      <c r="H61" s="19">
        <f t="shared" si="0"/>
        <v>15723</v>
      </c>
      <c r="I61" s="26"/>
      <c r="J61" s="114"/>
    </row>
    <row r="62" spans="1:10" s="27" customFormat="1" ht="24" customHeight="1">
      <c r="A62" s="105" t="s">
        <v>45</v>
      </c>
      <c r="B62" s="16" t="s">
        <v>90</v>
      </c>
      <c r="C62" s="16" t="s">
        <v>295</v>
      </c>
      <c r="D62" s="16" t="s">
        <v>243</v>
      </c>
      <c r="E62" s="16" t="s">
        <v>251</v>
      </c>
      <c r="F62" s="17" t="str">
        <f t="shared" si="1"/>
        <v>แผ่นสแตนเลส SUS 304 No.1 - size :1200x2400mm.(4x8ฟุต)หนา 5.0 mm.</v>
      </c>
      <c r="G62" s="18">
        <v>13900</v>
      </c>
      <c r="H62" s="19">
        <f t="shared" si="0"/>
        <v>15445</v>
      </c>
      <c r="I62" s="26"/>
      <c r="J62" s="114"/>
    </row>
    <row r="63" spans="1:10" ht="24" customHeight="1">
      <c r="A63" s="105" t="s">
        <v>47</v>
      </c>
      <c r="B63" s="16" t="s">
        <v>91</v>
      </c>
      <c r="C63" s="16" t="s">
        <v>293</v>
      </c>
      <c r="D63" s="16" t="s">
        <v>244</v>
      </c>
      <c r="E63" s="16" t="s">
        <v>251</v>
      </c>
      <c r="F63" s="17" t="str">
        <f t="shared" si="1"/>
        <v>แผ่นสแตนเลส SUS 304 2B - size :1500x3000mm.(5x10ฟุต)หนา 5.0 mm.</v>
      </c>
      <c r="G63" s="18">
        <v>26650</v>
      </c>
      <c r="H63" s="19">
        <f t="shared" si="0"/>
        <v>29612</v>
      </c>
      <c r="J63" s="114"/>
    </row>
    <row r="64" spans="1:10" ht="24" customHeight="1">
      <c r="A64" s="105" t="s">
        <v>49</v>
      </c>
      <c r="B64" s="16" t="s">
        <v>92</v>
      </c>
      <c r="C64" s="16" t="s">
        <v>295</v>
      </c>
      <c r="D64" s="16" t="s">
        <v>243</v>
      </c>
      <c r="E64" s="16" t="s">
        <v>252</v>
      </c>
      <c r="F64" s="17" t="str">
        <f t="shared" si="1"/>
        <v>แผ่นสแตนเลส SUS 304 No.1 - size :1200x2400mm.(4x8ฟุต)หนา 6.0 mm.</v>
      </c>
      <c r="G64" s="18">
        <v>10850</v>
      </c>
      <c r="H64" s="19">
        <f t="shared" si="0"/>
        <v>12056</v>
      </c>
      <c r="J64" s="114"/>
    </row>
    <row r="65" spans="1:10" ht="24" customHeight="1">
      <c r="A65" s="105" t="s">
        <v>51</v>
      </c>
      <c r="B65" s="16" t="s">
        <v>93</v>
      </c>
      <c r="C65" s="16" t="s">
        <v>293</v>
      </c>
      <c r="D65" s="16" t="s">
        <v>243</v>
      </c>
      <c r="E65" s="16" t="s">
        <v>252</v>
      </c>
      <c r="F65" s="17" t="str">
        <f t="shared" si="1"/>
        <v>แผ่นสแตนเลส SUS 304 2B - size :1200x2400mm.(4x8ฟุต)หนา 6.0 mm.</v>
      </c>
      <c r="G65" s="18">
        <v>15300</v>
      </c>
      <c r="H65" s="19">
        <f t="shared" si="0"/>
        <v>17000</v>
      </c>
      <c r="J65" s="114"/>
    </row>
    <row r="66" spans="1:10" s="27" customFormat="1" ht="24" customHeight="1">
      <c r="A66" s="105" t="s">
        <v>53</v>
      </c>
      <c r="B66" s="16" t="s">
        <v>94</v>
      </c>
      <c r="C66" s="16" t="s">
        <v>295</v>
      </c>
      <c r="D66" s="16" t="s">
        <v>243</v>
      </c>
      <c r="E66" s="16" t="s">
        <v>253</v>
      </c>
      <c r="F66" s="17" t="str">
        <f t="shared" si="1"/>
        <v>แผ่นสแตนเลส SUS 304 No.1 - size :1200x2400mm.(4x8ฟุต)หนา 8.0 mm.</v>
      </c>
      <c r="G66" s="18">
        <v>14800</v>
      </c>
      <c r="H66" s="19">
        <f t="shared" si="0"/>
        <v>16445</v>
      </c>
      <c r="I66" s="26"/>
      <c r="J66" s="114"/>
    </row>
    <row r="67" spans="1:10" s="27" customFormat="1" ht="24" customHeight="1">
      <c r="A67" s="105" t="s">
        <v>55</v>
      </c>
      <c r="B67" s="16" t="s">
        <v>95</v>
      </c>
      <c r="C67" s="16" t="s">
        <v>295</v>
      </c>
      <c r="D67" s="16" t="s">
        <v>243</v>
      </c>
      <c r="E67" s="16" t="s">
        <v>254</v>
      </c>
      <c r="F67" s="17" t="str">
        <f t="shared" si="1"/>
        <v>แผ่นสแตนเลส SUS 304 No.1 - size :1200x2400mm.(4x8ฟุต)หนา 9.0 mm.</v>
      </c>
      <c r="G67" s="18">
        <v>17200</v>
      </c>
      <c r="H67" s="19">
        <f t="shared" si="0"/>
        <v>19112</v>
      </c>
      <c r="I67" s="26"/>
      <c r="J67" s="114"/>
    </row>
    <row r="68" spans="1:10" ht="24" customHeight="1">
      <c r="A68" s="105" t="s">
        <v>57</v>
      </c>
      <c r="B68" s="16" t="s">
        <v>97</v>
      </c>
      <c r="C68" s="16" t="s">
        <v>295</v>
      </c>
      <c r="D68" s="16" t="s">
        <v>243</v>
      </c>
      <c r="E68" s="16" t="s">
        <v>255</v>
      </c>
      <c r="F68" s="17" t="str">
        <f t="shared" si="1"/>
        <v>แผ่นสแตนเลส SUS 304 No.1 - size :1200x2400mm.(4x8ฟุต)หนา 10.0 mm.</v>
      </c>
      <c r="G68" s="18">
        <v>26300</v>
      </c>
      <c r="H68" s="19">
        <f t="shared" si="0"/>
        <v>29223</v>
      </c>
      <c r="J68" s="114"/>
    </row>
    <row r="69" spans="1:10" ht="24" customHeight="1">
      <c r="A69" s="105" t="s">
        <v>96</v>
      </c>
      <c r="B69" s="16" t="s">
        <v>98</v>
      </c>
      <c r="C69" s="16" t="s">
        <v>295</v>
      </c>
      <c r="D69" s="16" t="s">
        <v>243</v>
      </c>
      <c r="E69" s="16" t="s">
        <v>256</v>
      </c>
      <c r="F69" s="17" t="str">
        <f t="shared" si="1"/>
        <v>แผ่นสแตนเลส SUS 304 No.1 - size :1200x2400mm.(4x8ฟุต)หนา 12.0 mm.</v>
      </c>
      <c r="G69" s="18">
        <v>32000</v>
      </c>
      <c r="H69" s="19">
        <f t="shared" ref="H69:H132" si="2">ROUNDUP(G69/0.9,0)</f>
        <v>35556</v>
      </c>
      <c r="J69" s="114"/>
    </row>
    <row r="70" spans="1:10" ht="24" customHeight="1">
      <c r="A70" s="106"/>
      <c r="B70" s="22"/>
      <c r="C70" s="22"/>
      <c r="D70" s="22"/>
      <c r="E70" s="22"/>
      <c r="F70" s="23" t="s">
        <v>99</v>
      </c>
      <c r="G70" s="28"/>
      <c r="H70" s="29"/>
      <c r="J70" s="114"/>
    </row>
    <row r="71" spans="1:10" ht="24" customHeight="1">
      <c r="A71" s="107" t="s">
        <v>9</v>
      </c>
      <c r="B71" s="16" t="s">
        <v>100</v>
      </c>
      <c r="C71" s="16" t="s">
        <v>296</v>
      </c>
      <c r="D71" s="16" t="s">
        <v>243</v>
      </c>
      <c r="E71" s="16" t="s">
        <v>260</v>
      </c>
      <c r="F71" s="17" t="str">
        <f t="shared" ref="F71:F134" si="3">C71&amp;D71&amp;E71</f>
        <v>แผ่นสแตนเลสมิลเลอร์ SUS 304 - size :1200x2400mm.(4x8ฟุต)หนา 0.5 mm.</v>
      </c>
      <c r="G71" s="18">
        <v>1990</v>
      </c>
      <c r="H71" s="19">
        <f t="shared" si="2"/>
        <v>2212</v>
      </c>
      <c r="J71" s="114"/>
    </row>
    <row r="72" spans="1:10" ht="24" customHeight="1">
      <c r="A72" s="107" t="s">
        <v>11</v>
      </c>
      <c r="B72" s="16" t="s">
        <v>101</v>
      </c>
      <c r="C72" s="16" t="s">
        <v>296</v>
      </c>
      <c r="D72" s="16" t="s">
        <v>243</v>
      </c>
      <c r="E72" s="16" t="s">
        <v>270</v>
      </c>
      <c r="F72" s="17" t="str">
        <f t="shared" si="3"/>
        <v>แผ่นสแตนเลสมิลเลอร์ SUS 304 - size :1200x2400mm.(4x8ฟุต)หนา 0.7 mm.</v>
      </c>
      <c r="G72" s="18">
        <v>2300</v>
      </c>
      <c r="H72" s="19">
        <f t="shared" si="2"/>
        <v>2556</v>
      </c>
      <c r="J72" s="114"/>
    </row>
    <row r="73" spans="1:10" ht="24" customHeight="1">
      <c r="A73" s="105" t="s">
        <v>13</v>
      </c>
      <c r="B73" s="16" t="s">
        <v>102</v>
      </c>
      <c r="C73" s="16" t="s">
        <v>296</v>
      </c>
      <c r="D73" s="16" t="s">
        <v>243</v>
      </c>
      <c r="E73" s="16" t="s">
        <v>261</v>
      </c>
      <c r="F73" s="17" t="str">
        <f t="shared" si="3"/>
        <v>แผ่นสแตนเลสมิลเลอร์ SUS 304 - size :1200x2400mm.(4x8ฟุต)หนา 0.8 mm.</v>
      </c>
      <c r="G73" s="18">
        <v>2800</v>
      </c>
      <c r="H73" s="19">
        <f t="shared" si="2"/>
        <v>3112</v>
      </c>
      <c r="J73" s="114"/>
    </row>
    <row r="74" spans="1:10" ht="24" customHeight="1">
      <c r="A74" s="107" t="s">
        <v>15</v>
      </c>
      <c r="B74" s="16" t="s">
        <v>103</v>
      </c>
      <c r="C74" s="16" t="s">
        <v>296</v>
      </c>
      <c r="D74" s="16" t="s">
        <v>243</v>
      </c>
      <c r="E74" s="16" t="s">
        <v>262</v>
      </c>
      <c r="F74" s="17" t="str">
        <f t="shared" si="3"/>
        <v>แผ่นสแตนเลสมิลเลอร์ SUS 304 - size :1200x2400mm.(4x8ฟุต)หนา 1.0 mm.</v>
      </c>
      <c r="G74" s="18">
        <v>3300</v>
      </c>
      <c r="H74" s="19">
        <f t="shared" si="2"/>
        <v>3667</v>
      </c>
      <c r="J74" s="114"/>
    </row>
    <row r="75" spans="1:10" s="27" customFormat="1" ht="24" customHeight="1">
      <c r="A75" s="108" t="s">
        <v>17</v>
      </c>
      <c r="B75" s="16" t="s">
        <v>104</v>
      </c>
      <c r="C75" s="16" t="s">
        <v>296</v>
      </c>
      <c r="D75" s="16" t="s">
        <v>244</v>
      </c>
      <c r="E75" s="16" t="s">
        <v>262</v>
      </c>
      <c r="F75" s="17" t="str">
        <f t="shared" si="3"/>
        <v>แผ่นสแตนเลสมิลเลอร์ SUS 304 - size :1500x3000mm.(5x10ฟุต)หนา 1.0 mm.</v>
      </c>
      <c r="G75" s="18">
        <v>4800</v>
      </c>
      <c r="H75" s="19">
        <f t="shared" si="2"/>
        <v>5334</v>
      </c>
      <c r="I75" s="26"/>
      <c r="J75" s="114"/>
    </row>
    <row r="76" spans="1:10" ht="24" customHeight="1">
      <c r="A76" s="105" t="s">
        <v>19</v>
      </c>
      <c r="B76" s="16" t="s">
        <v>105</v>
      </c>
      <c r="C76" s="16" t="s">
        <v>296</v>
      </c>
      <c r="D76" s="16" t="s">
        <v>243</v>
      </c>
      <c r="E76" s="16" t="s">
        <v>245</v>
      </c>
      <c r="F76" s="17" t="str">
        <f t="shared" si="3"/>
        <v>แผ่นสแตนเลสมิลเลอร์ SUS 304 - size :1200x2400mm.(4x8ฟุต)หนา 1.2 mm.</v>
      </c>
      <c r="G76" s="18">
        <v>3000</v>
      </c>
      <c r="H76" s="19">
        <f t="shared" si="2"/>
        <v>3334</v>
      </c>
      <c r="J76" s="114"/>
    </row>
    <row r="77" spans="1:10" ht="24" customHeight="1">
      <c r="A77" s="107" t="s">
        <v>21</v>
      </c>
      <c r="B77" s="16" t="s">
        <v>106</v>
      </c>
      <c r="C77" s="16" t="s">
        <v>296</v>
      </c>
      <c r="D77" s="16" t="s">
        <v>269</v>
      </c>
      <c r="E77" s="16" t="s">
        <v>245</v>
      </c>
      <c r="F77" s="17" t="str">
        <f t="shared" si="3"/>
        <v>แผ่นสแตนเลสมิลเลอร์ SUS 304 - size :1200x3000mm.(4x10ฟุต)หนา 1.2 mm.</v>
      </c>
      <c r="G77" s="18">
        <v>5885</v>
      </c>
      <c r="H77" s="19">
        <f t="shared" si="2"/>
        <v>6539</v>
      </c>
      <c r="J77" s="114"/>
    </row>
    <row r="78" spans="1:10" ht="24" customHeight="1">
      <c r="A78" s="107" t="s">
        <v>23</v>
      </c>
      <c r="B78" s="16" t="s">
        <v>107</v>
      </c>
      <c r="C78" s="16" t="s">
        <v>296</v>
      </c>
      <c r="D78" s="16" t="s">
        <v>244</v>
      </c>
      <c r="E78" s="16" t="s">
        <v>245</v>
      </c>
      <c r="F78" s="17" t="str">
        <f t="shared" si="3"/>
        <v>แผ่นสแตนเลสมิลเลอร์ SUS 304 - size :1500x3000mm.(5x10ฟุต)หนา 1.2 mm.</v>
      </c>
      <c r="G78" s="18">
        <v>5000</v>
      </c>
      <c r="H78" s="19">
        <f t="shared" si="2"/>
        <v>5556</v>
      </c>
      <c r="J78" s="114"/>
    </row>
    <row r="79" spans="1:10" ht="24" customHeight="1">
      <c r="A79" s="105" t="s">
        <v>25</v>
      </c>
      <c r="B79" s="16" t="s">
        <v>108</v>
      </c>
      <c r="C79" s="16" t="s">
        <v>296</v>
      </c>
      <c r="D79" s="16" t="s">
        <v>243</v>
      </c>
      <c r="E79" s="16" t="s">
        <v>246</v>
      </c>
      <c r="F79" s="17" t="str">
        <f t="shared" si="3"/>
        <v>แผ่นสแตนเลสมิลเลอร์ SUS 304 - size :1200x2400mm.(4x8ฟุต)หนา 1.5 mm.</v>
      </c>
      <c r="G79" s="18">
        <v>3350</v>
      </c>
      <c r="H79" s="19">
        <f t="shared" si="2"/>
        <v>3723</v>
      </c>
      <c r="J79" s="114"/>
    </row>
    <row r="80" spans="1:10" ht="24" customHeight="1">
      <c r="A80" s="107" t="s">
        <v>27</v>
      </c>
      <c r="B80" s="16" t="s">
        <v>109</v>
      </c>
      <c r="C80" s="16" t="s">
        <v>296</v>
      </c>
      <c r="D80" s="16" t="s">
        <v>269</v>
      </c>
      <c r="E80" s="16" t="s">
        <v>246</v>
      </c>
      <c r="F80" s="17" t="str">
        <f t="shared" si="3"/>
        <v>แผ่นสแตนเลสมิลเลอร์ SUS 304 - size :1200x3000mm.(4x10ฟุต)หนา 1.5 mm.</v>
      </c>
      <c r="G80" s="18">
        <v>6300</v>
      </c>
      <c r="H80" s="19">
        <f t="shared" si="2"/>
        <v>7000</v>
      </c>
      <c r="J80" s="114"/>
    </row>
    <row r="81" spans="1:10" ht="24" customHeight="1">
      <c r="A81" s="107" t="s">
        <v>29</v>
      </c>
      <c r="B81" s="16" t="s">
        <v>110</v>
      </c>
      <c r="C81" s="16" t="s">
        <v>296</v>
      </c>
      <c r="D81" s="16" t="s">
        <v>244</v>
      </c>
      <c r="E81" s="16" t="s">
        <v>246</v>
      </c>
      <c r="F81" s="17" t="str">
        <f t="shared" si="3"/>
        <v>แผ่นสแตนเลสมิลเลอร์ SUS 304 - size :1500x3000mm.(5x10ฟุต)หนา 1.5 mm.</v>
      </c>
      <c r="G81" s="18">
        <v>6500</v>
      </c>
      <c r="H81" s="19">
        <f t="shared" si="2"/>
        <v>7223</v>
      </c>
      <c r="J81" s="114"/>
    </row>
    <row r="82" spans="1:10" ht="24" customHeight="1">
      <c r="A82" s="105" t="s">
        <v>31</v>
      </c>
      <c r="B82" s="16" t="s">
        <v>111</v>
      </c>
      <c r="C82" s="16" t="s">
        <v>296</v>
      </c>
      <c r="D82" s="16" t="s">
        <v>243</v>
      </c>
      <c r="E82" s="16" t="s">
        <v>247</v>
      </c>
      <c r="F82" s="17" t="str">
        <f t="shared" si="3"/>
        <v>แผ่นสแตนเลสมิลเลอร์ SUS 304 - size :1200x2400mm.(4x8ฟุต)หนา 2.0 mm.</v>
      </c>
      <c r="G82" s="18">
        <v>4200</v>
      </c>
      <c r="H82" s="19">
        <f t="shared" si="2"/>
        <v>4667</v>
      </c>
      <c r="J82" s="114"/>
    </row>
    <row r="83" spans="1:10" ht="24" customHeight="1">
      <c r="A83" s="107" t="s">
        <v>33</v>
      </c>
      <c r="B83" s="16" t="s">
        <v>112</v>
      </c>
      <c r="C83" s="16" t="s">
        <v>296</v>
      </c>
      <c r="D83" s="16" t="s">
        <v>269</v>
      </c>
      <c r="E83" s="16" t="s">
        <v>247</v>
      </c>
      <c r="F83" s="17" t="str">
        <f t="shared" si="3"/>
        <v>แผ่นสแตนเลสมิลเลอร์ SUS 304 - size :1200x3000mm.(4x10ฟุต)หนา 2.0 mm.</v>
      </c>
      <c r="G83" s="18">
        <v>6300</v>
      </c>
      <c r="H83" s="19">
        <f t="shared" si="2"/>
        <v>7000</v>
      </c>
      <c r="J83" s="114"/>
    </row>
    <row r="84" spans="1:10" s="27" customFormat="1" ht="24" customHeight="1">
      <c r="A84" s="107" t="s">
        <v>35</v>
      </c>
      <c r="B84" s="16" t="s">
        <v>113</v>
      </c>
      <c r="C84" s="16" t="s">
        <v>296</v>
      </c>
      <c r="D84" s="16" t="s">
        <v>244</v>
      </c>
      <c r="E84" s="16" t="s">
        <v>247</v>
      </c>
      <c r="F84" s="17" t="str">
        <f t="shared" si="3"/>
        <v>แผ่นสแตนเลสมิลเลอร์ SUS 304 - size :1500x3000mm.(5x10ฟุต)หนา 2.0 mm.</v>
      </c>
      <c r="G84" s="18">
        <v>6800</v>
      </c>
      <c r="H84" s="19">
        <f t="shared" si="2"/>
        <v>7556</v>
      </c>
      <c r="I84" s="26"/>
      <c r="J84" s="114"/>
    </row>
    <row r="85" spans="1:10" s="27" customFormat="1" ht="24" customHeight="1">
      <c r="A85" s="105" t="s">
        <v>37</v>
      </c>
      <c r="B85" s="16" t="s">
        <v>114</v>
      </c>
      <c r="C85" s="16" t="s">
        <v>296</v>
      </c>
      <c r="D85" s="16" t="s">
        <v>243</v>
      </c>
      <c r="E85" s="16" t="s">
        <v>248</v>
      </c>
      <c r="F85" s="17" t="str">
        <f t="shared" si="3"/>
        <v>แผ่นสแตนเลสมิลเลอร์ SUS 304 - size :1200x2400mm.(4x8ฟุต)หนา 3.0 mm.</v>
      </c>
      <c r="G85" s="18">
        <v>6300</v>
      </c>
      <c r="H85" s="19">
        <f t="shared" si="2"/>
        <v>7000</v>
      </c>
      <c r="I85" s="26"/>
      <c r="J85" s="114"/>
    </row>
    <row r="86" spans="1:10" ht="24" customHeight="1">
      <c r="A86" s="107" t="s">
        <v>39</v>
      </c>
      <c r="B86" s="16" t="s">
        <v>115</v>
      </c>
      <c r="C86" s="16" t="s">
        <v>296</v>
      </c>
      <c r="D86" s="16" t="s">
        <v>244</v>
      </c>
      <c r="E86" s="16" t="s">
        <v>248</v>
      </c>
      <c r="F86" s="17" t="str">
        <f t="shared" si="3"/>
        <v>แผ่นสแตนเลสมิลเลอร์ SUS 304 - size :1500x3000mm.(5x10ฟุต)หนา 3.0 mm.</v>
      </c>
      <c r="G86" s="18">
        <v>16600</v>
      </c>
      <c r="H86" s="19">
        <f t="shared" si="2"/>
        <v>18445</v>
      </c>
      <c r="J86" s="114"/>
    </row>
    <row r="87" spans="1:10" ht="24" customHeight="1">
      <c r="A87" s="107" t="s">
        <v>41</v>
      </c>
      <c r="B87" s="16" t="s">
        <v>116</v>
      </c>
      <c r="C87" s="16" t="s">
        <v>296</v>
      </c>
      <c r="D87" s="16" t="s">
        <v>244</v>
      </c>
      <c r="E87" s="16" t="s">
        <v>249</v>
      </c>
      <c r="F87" s="17" t="str">
        <f t="shared" si="3"/>
        <v>แผ่นสแตนเลสมิลเลอร์ SUS 304 - size :1500x3000mm.(5x10ฟุต)หนา 4.0 mm.</v>
      </c>
      <c r="G87" s="18">
        <v>21700</v>
      </c>
      <c r="H87" s="19">
        <f t="shared" si="2"/>
        <v>24112</v>
      </c>
      <c r="J87" s="114"/>
    </row>
    <row r="88" spans="1:10" ht="24" customHeight="1">
      <c r="A88" s="105" t="s">
        <v>43</v>
      </c>
      <c r="B88" s="16" t="s">
        <v>117</v>
      </c>
      <c r="C88" s="16" t="s">
        <v>296</v>
      </c>
      <c r="D88" s="16" t="s">
        <v>243</v>
      </c>
      <c r="E88" s="16" t="s">
        <v>251</v>
      </c>
      <c r="F88" s="17" t="str">
        <f t="shared" si="3"/>
        <v>แผ่นสแตนเลสมิลเลอร์ SUS 304 - size :1200x2400mm.(4x8ฟุต)หนา 5.0 mm.</v>
      </c>
      <c r="G88" s="18">
        <v>15200</v>
      </c>
      <c r="H88" s="19">
        <f t="shared" si="2"/>
        <v>16889</v>
      </c>
      <c r="J88" s="114"/>
    </row>
    <row r="89" spans="1:10" ht="24" customHeight="1">
      <c r="A89" s="106"/>
      <c r="B89" s="22"/>
      <c r="C89" s="22"/>
      <c r="D89" s="22"/>
      <c r="E89" s="22"/>
      <c r="F89" s="23" t="s">
        <v>118</v>
      </c>
      <c r="G89" s="24"/>
      <c r="H89" s="25"/>
      <c r="J89" s="114"/>
    </row>
    <row r="90" spans="1:10" ht="24" customHeight="1">
      <c r="A90" s="107" t="s">
        <v>9</v>
      </c>
      <c r="B90" s="30" t="s">
        <v>119</v>
      </c>
      <c r="C90" s="16" t="s">
        <v>297</v>
      </c>
      <c r="D90" s="16" t="s">
        <v>243</v>
      </c>
      <c r="E90" s="16" t="s">
        <v>270</v>
      </c>
      <c r="F90" s="17" t="str">
        <f t="shared" si="3"/>
        <v>แผ่นสแตนเลส SUS 304 HL - size :1200x2400mm.(4x8ฟุต)หนา 0.7 mm.</v>
      </c>
      <c r="G90" s="18">
        <v>2400</v>
      </c>
      <c r="H90" s="19">
        <f t="shared" si="2"/>
        <v>2667</v>
      </c>
      <c r="J90" s="114"/>
    </row>
    <row r="91" spans="1:10" ht="24" customHeight="1">
      <c r="A91" s="107" t="s">
        <v>11</v>
      </c>
      <c r="B91" s="30" t="s">
        <v>120</v>
      </c>
      <c r="C91" s="16" t="s">
        <v>297</v>
      </c>
      <c r="D91" s="16" t="s">
        <v>243</v>
      </c>
      <c r="E91" s="16" t="s">
        <v>261</v>
      </c>
      <c r="F91" s="17" t="str">
        <f t="shared" si="3"/>
        <v>แผ่นสแตนเลส SUS 304 HL - size :1200x2400mm.(4x8ฟุต)หนา 0.8 mm.</v>
      </c>
      <c r="G91" s="18">
        <v>2250</v>
      </c>
      <c r="H91" s="19">
        <f t="shared" si="2"/>
        <v>2500</v>
      </c>
      <c r="J91" s="114"/>
    </row>
    <row r="92" spans="1:10" ht="24" customHeight="1">
      <c r="A92" s="107" t="s">
        <v>13</v>
      </c>
      <c r="B92" s="30" t="s">
        <v>121</v>
      </c>
      <c r="C92" s="16" t="s">
        <v>297</v>
      </c>
      <c r="D92" s="16" t="s">
        <v>243</v>
      </c>
      <c r="E92" s="16" t="s">
        <v>262</v>
      </c>
      <c r="F92" s="17" t="str">
        <f t="shared" si="3"/>
        <v>แผ่นสแตนเลส SUS 304 HL - size :1200x2400mm.(4x8ฟุต)หนา 1.0 mm.</v>
      </c>
      <c r="G92" s="18">
        <v>2300</v>
      </c>
      <c r="H92" s="19">
        <f t="shared" si="2"/>
        <v>2556</v>
      </c>
      <c r="J92" s="114"/>
    </row>
    <row r="93" spans="1:10" ht="24" customHeight="1">
      <c r="A93" s="107" t="s">
        <v>15</v>
      </c>
      <c r="B93" s="30" t="s">
        <v>122</v>
      </c>
      <c r="C93" s="16" t="s">
        <v>297</v>
      </c>
      <c r="D93" s="16" t="s">
        <v>243</v>
      </c>
      <c r="E93" s="16" t="s">
        <v>245</v>
      </c>
      <c r="F93" s="17" t="str">
        <f t="shared" si="3"/>
        <v>แผ่นสแตนเลส SUS 304 HL - size :1200x2400mm.(4x8ฟุต)หนา 1.2 mm.</v>
      </c>
      <c r="G93" s="18">
        <v>2200</v>
      </c>
      <c r="H93" s="19">
        <f t="shared" si="2"/>
        <v>2445</v>
      </c>
      <c r="J93" s="114"/>
    </row>
    <row r="94" spans="1:10" ht="24" customHeight="1">
      <c r="A94" s="107" t="s">
        <v>17</v>
      </c>
      <c r="B94" s="30" t="s">
        <v>123</v>
      </c>
      <c r="C94" s="16" t="s">
        <v>297</v>
      </c>
      <c r="D94" s="16" t="s">
        <v>269</v>
      </c>
      <c r="E94" s="16" t="s">
        <v>245</v>
      </c>
      <c r="F94" s="17" t="str">
        <f t="shared" si="3"/>
        <v>แผ่นสแตนเลส SUS 304 HL - size :1200x3000mm.(4x10ฟุต)หนา 1.2 mm.</v>
      </c>
      <c r="G94" s="18">
        <v>3300</v>
      </c>
      <c r="H94" s="19">
        <f t="shared" si="2"/>
        <v>3667</v>
      </c>
      <c r="J94" s="114"/>
    </row>
    <row r="95" spans="1:10" ht="24" customHeight="1">
      <c r="A95" s="107" t="s">
        <v>19</v>
      </c>
      <c r="B95" s="30" t="s">
        <v>124</v>
      </c>
      <c r="C95" s="16" t="s">
        <v>297</v>
      </c>
      <c r="D95" s="16" t="s">
        <v>244</v>
      </c>
      <c r="E95" s="16" t="s">
        <v>245</v>
      </c>
      <c r="F95" s="17" t="str">
        <f t="shared" si="3"/>
        <v>แผ่นสแตนเลส SUS 304 HL - size :1500x3000mm.(5x10ฟุต)หนา 1.2 mm.</v>
      </c>
      <c r="G95" s="18">
        <v>6500</v>
      </c>
      <c r="H95" s="19">
        <f t="shared" si="2"/>
        <v>7223</v>
      </c>
      <c r="J95" s="114"/>
    </row>
    <row r="96" spans="1:10" ht="24" customHeight="1">
      <c r="A96" s="107" t="s">
        <v>21</v>
      </c>
      <c r="B96" s="30" t="s">
        <v>125</v>
      </c>
      <c r="C96" s="16" t="s">
        <v>297</v>
      </c>
      <c r="D96" s="16" t="s">
        <v>243</v>
      </c>
      <c r="E96" s="16" t="s">
        <v>246</v>
      </c>
      <c r="F96" s="17" t="str">
        <f t="shared" si="3"/>
        <v>แผ่นสแตนเลส SUS 304 HL - size :1200x2400mm.(4x8ฟุต)หนา 1.5 mm.</v>
      </c>
      <c r="G96" s="18">
        <v>2750</v>
      </c>
      <c r="H96" s="19">
        <f t="shared" si="2"/>
        <v>3056</v>
      </c>
      <c r="J96" s="114"/>
    </row>
    <row r="97" spans="1:11" s="27" customFormat="1" ht="24" customHeight="1">
      <c r="A97" s="108" t="s">
        <v>23</v>
      </c>
      <c r="B97" s="30" t="s">
        <v>126</v>
      </c>
      <c r="C97" s="16" t="s">
        <v>297</v>
      </c>
      <c r="D97" s="16" t="s">
        <v>269</v>
      </c>
      <c r="E97" s="16" t="s">
        <v>246</v>
      </c>
      <c r="F97" s="17" t="str">
        <f t="shared" si="3"/>
        <v>แผ่นสแตนเลส SUS 304 HL - size :1200x3000mm.(4x10ฟุต)หนา 1.5 mm.</v>
      </c>
      <c r="G97" s="18">
        <v>4100</v>
      </c>
      <c r="H97" s="19">
        <f t="shared" si="2"/>
        <v>4556</v>
      </c>
      <c r="I97" s="26"/>
      <c r="J97" s="114"/>
    </row>
    <row r="98" spans="1:11" s="27" customFormat="1" ht="24" customHeight="1">
      <c r="A98" s="108" t="s">
        <v>25</v>
      </c>
      <c r="B98" s="30" t="s">
        <v>127</v>
      </c>
      <c r="C98" s="16" t="s">
        <v>297</v>
      </c>
      <c r="D98" s="16" t="s">
        <v>244</v>
      </c>
      <c r="E98" s="16" t="s">
        <v>246</v>
      </c>
      <c r="F98" s="17" t="str">
        <f t="shared" si="3"/>
        <v>แผ่นสแตนเลส SUS 304 HL - size :1500x3000mm.(5x10ฟุต)หนา 1.5 mm.</v>
      </c>
      <c r="G98" s="18">
        <v>5400</v>
      </c>
      <c r="H98" s="19">
        <f t="shared" si="2"/>
        <v>6000</v>
      </c>
      <c r="I98" s="26"/>
      <c r="J98" s="114"/>
    </row>
    <row r="99" spans="1:11" ht="24" customHeight="1">
      <c r="A99" s="107" t="s">
        <v>27</v>
      </c>
      <c r="B99" s="30" t="s">
        <v>128</v>
      </c>
      <c r="C99" s="16" t="s">
        <v>297</v>
      </c>
      <c r="D99" s="16" t="s">
        <v>243</v>
      </c>
      <c r="E99" s="16" t="s">
        <v>247</v>
      </c>
      <c r="F99" s="17" t="str">
        <f t="shared" si="3"/>
        <v>แผ่นสแตนเลส SUS 304 HL - size :1200x2400mm.(4x8ฟุต)หนา 2.0 mm.</v>
      </c>
      <c r="G99" s="18">
        <v>3800</v>
      </c>
      <c r="H99" s="19">
        <f t="shared" si="2"/>
        <v>4223</v>
      </c>
      <c r="J99" s="114"/>
    </row>
    <row r="100" spans="1:11" s="27" customFormat="1" ht="24" customHeight="1">
      <c r="A100" s="108" t="s">
        <v>29</v>
      </c>
      <c r="B100" s="30" t="s">
        <v>129</v>
      </c>
      <c r="C100" s="16" t="s">
        <v>297</v>
      </c>
      <c r="D100" s="16" t="s">
        <v>269</v>
      </c>
      <c r="E100" s="16" t="s">
        <v>247</v>
      </c>
      <c r="F100" s="17" t="str">
        <f t="shared" si="3"/>
        <v>แผ่นสแตนเลส SUS 304 HL - size :1200x3000mm.(4x10ฟุต)หนา 2.0 mm.</v>
      </c>
      <c r="G100" s="18">
        <v>5350</v>
      </c>
      <c r="H100" s="19">
        <f t="shared" si="2"/>
        <v>5945</v>
      </c>
      <c r="I100" s="26"/>
      <c r="J100" s="114"/>
    </row>
    <row r="101" spans="1:11" s="27" customFormat="1" ht="24" customHeight="1">
      <c r="A101" s="109" t="s">
        <v>31</v>
      </c>
      <c r="B101" s="30" t="s">
        <v>130</v>
      </c>
      <c r="C101" s="16" t="s">
        <v>297</v>
      </c>
      <c r="D101" s="16" t="s">
        <v>244</v>
      </c>
      <c r="E101" s="16" t="s">
        <v>247</v>
      </c>
      <c r="F101" s="17" t="str">
        <f t="shared" si="3"/>
        <v>แผ่นสแตนเลส SUS 304 HL - size :1500x3000mm.(5x10ฟุต)หนา 2.0 mm.</v>
      </c>
      <c r="G101" s="18">
        <v>6800</v>
      </c>
      <c r="H101" s="19">
        <f t="shared" si="2"/>
        <v>7556</v>
      </c>
      <c r="I101" s="26"/>
      <c r="J101" s="114"/>
    </row>
    <row r="102" spans="1:11" ht="24" customHeight="1">
      <c r="A102" s="107" t="s">
        <v>33</v>
      </c>
      <c r="B102" s="30" t="s">
        <v>131</v>
      </c>
      <c r="C102" s="16" t="s">
        <v>297</v>
      </c>
      <c r="D102" s="16" t="s">
        <v>243</v>
      </c>
      <c r="E102" s="16" t="s">
        <v>248</v>
      </c>
      <c r="F102" s="17" t="str">
        <f t="shared" si="3"/>
        <v>แผ่นสแตนเลส SUS 304 HL - size :1200x2400mm.(4x8ฟุต)หนา 3.0 mm.</v>
      </c>
      <c r="G102" s="18">
        <v>5860</v>
      </c>
      <c r="H102" s="19">
        <f t="shared" si="2"/>
        <v>6512</v>
      </c>
      <c r="J102" s="114"/>
    </row>
    <row r="103" spans="1:11" s="27" customFormat="1" ht="24" customHeight="1">
      <c r="A103" s="108" t="s">
        <v>35</v>
      </c>
      <c r="B103" s="30" t="s">
        <v>132</v>
      </c>
      <c r="C103" s="16" t="s">
        <v>297</v>
      </c>
      <c r="D103" s="16" t="s">
        <v>244</v>
      </c>
      <c r="E103" s="16" t="s">
        <v>248</v>
      </c>
      <c r="F103" s="17" t="str">
        <f t="shared" si="3"/>
        <v>แผ่นสแตนเลส SUS 304 HL - size :1500x3000mm.(5x10ฟุต)หนา 3.0 mm.</v>
      </c>
      <c r="G103" s="18">
        <v>10500</v>
      </c>
      <c r="H103" s="19">
        <f t="shared" si="2"/>
        <v>11667</v>
      </c>
      <c r="I103" s="26"/>
      <c r="J103" s="114"/>
    </row>
    <row r="104" spans="1:11" ht="24" customHeight="1">
      <c r="A104" s="106"/>
      <c r="B104" s="22"/>
      <c r="C104" s="22"/>
      <c r="D104" s="22"/>
      <c r="E104" s="22"/>
      <c r="F104" s="23" t="s">
        <v>133</v>
      </c>
      <c r="G104" s="24"/>
      <c r="H104" s="25"/>
      <c r="J104" s="114"/>
    </row>
    <row r="105" spans="1:11" ht="24" customHeight="1">
      <c r="A105" s="107" t="s">
        <v>9</v>
      </c>
      <c r="B105" s="30" t="s">
        <v>134</v>
      </c>
      <c r="C105" s="30" t="s">
        <v>306</v>
      </c>
      <c r="D105" s="16" t="s">
        <v>243</v>
      </c>
      <c r="E105" s="30" t="s">
        <v>271</v>
      </c>
      <c r="F105" s="17" t="str">
        <f t="shared" si="3"/>
        <v>แผ่นสแตนเลส SUS 304 HL NO.85 (แผ่นสี)1200x2400mm.(4x8ฟุต)หนา 1.0 mm./สีดำ</v>
      </c>
      <c r="G105" s="18">
        <v>8800</v>
      </c>
      <c r="H105" s="19">
        <f t="shared" si="2"/>
        <v>9778</v>
      </c>
      <c r="J105" s="114"/>
      <c r="K105" s="113"/>
    </row>
    <row r="106" spans="1:11" ht="24" customHeight="1">
      <c r="A106" s="107" t="s">
        <v>11</v>
      </c>
      <c r="B106" s="30" t="s">
        <v>135</v>
      </c>
      <c r="C106" s="30" t="s">
        <v>307</v>
      </c>
      <c r="D106" s="16" t="s">
        <v>269</v>
      </c>
      <c r="E106" s="30" t="s">
        <v>272</v>
      </c>
      <c r="F106" s="17" t="str">
        <f t="shared" si="3"/>
        <v>แผ่นสแตนเลส SUS 304 NO.85 (แผ่นสี)1200x3000mm.(4x10ฟุต)หนา 1.2 mm./สีดำ</v>
      </c>
      <c r="G106" s="18">
        <v>9000</v>
      </c>
      <c r="H106" s="19">
        <f t="shared" si="2"/>
        <v>10000</v>
      </c>
      <c r="J106" s="114"/>
      <c r="K106" s="113"/>
    </row>
    <row r="107" spans="1:11" ht="24" customHeight="1">
      <c r="A107" s="107" t="s">
        <v>13</v>
      </c>
      <c r="B107" s="30" t="s">
        <v>136</v>
      </c>
      <c r="C107" s="30" t="s">
        <v>308</v>
      </c>
      <c r="D107" s="16" t="s">
        <v>243</v>
      </c>
      <c r="E107" s="30" t="s">
        <v>273</v>
      </c>
      <c r="F107" s="17" t="str">
        <f t="shared" si="3"/>
        <v>แผ่นสแตนเลส SUS 304 NO.8 (แผ่นสี)1200x2400mm.(4x8ฟุต)หนา 1.0 mm./มิลเลอร์สีทอง</v>
      </c>
      <c r="G107" s="18">
        <v>6237</v>
      </c>
      <c r="H107" s="19">
        <f t="shared" si="2"/>
        <v>6930</v>
      </c>
      <c r="J107" s="114"/>
    </row>
    <row r="108" spans="1:11" s="27" customFormat="1" ht="24" customHeight="1">
      <c r="A108" s="108" t="s">
        <v>15</v>
      </c>
      <c r="B108" s="30" t="s">
        <v>137</v>
      </c>
      <c r="C108" s="30" t="s">
        <v>308</v>
      </c>
      <c r="D108" s="16" t="s">
        <v>243</v>
      </c>
      <c r="E108" s="30" t="s">
        <v>274</v>
      </c>
      <c r="F108" s="17" t="str">
        <f>C108&amp;D108&amp;E108</f>
        <v>แผ่นสแตนเลส SUS 304 NO.8 (แผ่นสี)1200x2400mm.(4x8ฟุต)หนา 1.2 mm./มิลเลอร์สีทอง</v>
      </c>
      <c r="G108" s="18">
        <v>7400</v>
      </c>
      <c r="H108" s="19">
        <f>ROUNDUP(G108/0.9,0)</f>
        <v>8223</v>
      </c>
      <c r="I108" s="26"/>
      <c r="J108" s="114"/>
    </row>
    <row r="109" spans="1:11" ht="24" customHeight="1">
      <c r="A109" s="107" t="s">
        <v>17</v>
      </c>
      <c r="B109" s="30" t="s">
        <v>140</v>
      </c>
      <c r="C109" s="30" t="s">
        <v>308</v>
      </c>
      <c r="D109" s="16" t="s">
        <v>269</v>
      </c>
      <c r="E109" s="30" t="s">
        <v>274</v>
      </c>
      <c r="F109" s="17" t="str">
        <f>C109&amp;D109&amp;E109</f>
        <v>แผ่นสแตนเลส SUS 304 NO.8 (แผ่นสี)1200x3000mm.(4x10ฟุต)หนา 1.2 mm./มิลเลอร์สีทอง</v>
      </c>
      <c r="G109" s="18">
        <v>9900</v>
      </c>
      <c r="H109" s="19">
        <f>ROUNDUP(G109/0.9,0)</f>
        <v>11000</v>
      </c>
      <c r="J109" s="114"/>
    </row>
    <row r="110" spans="1:11" ht="24" customHeight="1">
      <c r="A110" s="107" t="s">
        <v>19</v>
      </c>
      <c r="B110" s="30" t="s">
        <v>138</v>
      </c>
      <c r="C110" s="30" t="s">
        <v>308</v>
      </c>
      <c r="D110" s="16" t="s">
        <v>243</v>
      </c>
      <c r="E110" s="30" t="s">
        <v>275</v>
      </c>
      <c r="F110" s="17" t="str">
        <f t="shared" si="3"/>
        <v>แผ่นสแตนเลส SUS 304 NO.8 (แผ่นสี)1200x2400mm.(4x8ฟุต)หนา 1.2 mm./มิลเลอร์สีโรสโกลด์</v>
      </c>
      <c r="G110" s="18">
        <v>10000</v>
      </c>
      <c r="H110" s="19">
        <f t="shared" si="2"/>
        <v>11112</v>
      </c>
      <c r="J110" s="114"/>
    </row>
    <row r="111" spans="1:11" ht="24" customHeight="1">
      <c r="A111" s="107" t="s">
        <v>21</v>
      </c>
      <c r="B111" s="30" t="s">
        <v>139</v>
      </c>
      <c r="C111" s="30" t="s">
        <v>308</v>
      </c>
      <c r="D111" s="16" t="s">
        <v>243</v>
      </c>
      <c r="E111" s="30" t="s">
        <v>276</v>
      </c>
      <c r="F111" s="17" t="str">
        <f t="shared" si="3"/>
        <v>แผ่นสแตนเลส SUS 304 NO.8 (แผ่นสี)1200x2400mm.(4x8ฟุต)หนา 1.2 mm./มิลเลอร์สีแชมเปญโกลด์</v>
      </c>
      <c r="G111" s="18">
        <v>11000</v>
      </c>
      <c r="H111" s="19">
        <f t="shared" si="2"/>
        <v>12223</v>
      </c>
      <c r="J111" s="114"/>
    </row>
    <row r="112" spans="1:11" ht="24" customHeight="1">
      <c r="A112" s="104"/>
      <c r="B112" s="12"/>
      <c r="C112" s="12"/>
      <c r="D112" s="12"/>
      <c r="E112" s="12"/>
      <c r="F112" s="13" t="s">
        <v>141</v>
      </c>
      <c r="G112" s="31"/>
      <c r="H112" s="32"/>
      <c r="J112" s="114"/>
    </row>
    <row r="113" spans="1:11" s="2" customFormat="1" ht="24" customHeight="1">
      <c r="A113" s="105" t="s">
        <v>9</v>
      </c>
      <c r="B113" s="16" t="s">
        <v>142</v>
      </c>
      <c r="C113" s="16" t="s">
        <v>298</v>
      </c>
      <c r="D113" s="16" t="s">
        <v>243</v>
      </c>
      <c r="E113" s="16" t="s">
        <v>262</v>
      </c>
      <c r="F113" s="17" t="str">
        <f t="shared" si="3"/>
        <v>แผ่นอลูมิเนียม AL 1100 - size :1200x2400mm.(4x8ฟุต)หนา 1.0 mm.</v>
      </c>
      <c r="G113" s="18">
        <v>985</v>
      </c>
      <c r="H113" s="19">
        <f t="shared" si="2"/>
        <v>1095</v>
      </c>
      <c r="J113" s="114"/>
      <c r="K113" s="3"/>
    </row>
    <row r="114" spans="1:11" s="2" customFormat="1" ht="24" customHeight="1">
      <c r="A114" s="105" t="s">
        <v>11</v>
      </c>
      <c r="B114" s="16" t="s">
        <v>143</v>
      </c>
      <c r="C114" s="16" t="s">
        <v>298</v>
      </c>
      <c r="D114" s="16" t="s">
        <v>243</v>
      </c>
      <c r="E114" s="16" t="s">
        <v>245</v>
      </c>
      <c r="F114" s="17" t="str">
        <f t="shared" si="3"/>
        <v>แผ่นอลูมิเนียม AL 1100 - size :1200x2400mm.(4x8ฟุต)หนา 1.2 mm.</v>
      </c>
      <c r="G114" s="18">
        <v>1230</v>
      </c>
      <c r="H114" s="19">
        <f t="shared" si="2"/>
        <v>1367</v>
      </c>
      <c r="J114" s="114"/>
      <c r="K114" s="3"/>
    </row>
    <row r="115" spans="1:11" s="2" customFormat="1" ht="24" customHeight="1">
      <c r="A115" s="105" t="s">
        <v>13</v>
      </c>
      <c r="B115" s="16" t="s">
        <v>144</v>
      </c>
      <c r="C115" s="16" t="s">
        <v>298</v>
      </c>
      <c r="D115" s="16" t="s">
        <v>243</v>
      </c>
      <c r="E115" s="16" t="s">
        <v>246</v>
      </c>
      <c r="F115" s="17" t="str">
        <f t="shared" si="3"/>
        <v>แผ่นอลูมิเนียม AL 1100 - size :1200x2400mm.(4x8ฟุต)หนา 1.5 mm.</v>
      </c>
      <c r="G115" s="18">
        <v>1560</v>
      </c>
      <c r="H115" s="19">
        <f t="shared" si="2"/>
        <v>1734</v>
      </c>
      <c r="J115" s="114"/>
      <c r="K115" s="3"/>
    </row>
    <row r="116" spans="1:11" s="2" customFormat="1" ht="24" customHeight="1">
      <c r="A116" s="105" t="s">
        <v>15</v>
      </c>
      <c r="B116" s="16" t="s">
        <v>145</v>
      </c>
      <c r="C116" s="16" t="s">
        <v>298</v>
      </c>
      <c r="D116" s="16" t="s">
        <v>243</v>
      </c>
      <c r="E116" s="16" t="s">
        <v>247</v>
      </c>
      <c r="F116" s="17" t="str">
        <f t="shared" si="3"/>
        <v>แผ่นอลูมิเนียม AL 1100 - size :1200x2400mm.(4x8ฟุต)หนา 2.0 mm.</v>
      </c>
      <c r="G116" s="18">
        <v>2060</v>
      </c>
      <c r="H116" s="19">
        <f t="shared" si="2"/>
        <v>2289</v>
      </c>
      <c r="J116" s="114"/>
      <c r="K116" s="3"/>
    </row>
    <row r="117" spans="1:11" s="2" customFormat="1" ht="24" customHeight="1">
      <c r="A117" s="105" t="s">
        <v>17</v>
      </c>
      <c r="B117" s="16" t="s">
        <v>146</v>
      </c>
      <c r="C117" s="16" t="s">
        <v>298</v>
      </c>
      <c r="D117" s="16" t="s">
        <v>244</v>
      </c>
      <c r="E117" s="16" t="s">
        <v>247</v>
      </c>
      <c r="F117" s="17" t="str">
        <f t="shared" si="3"/>
        <v>แผ่นอลูมิเนียม AL 1100 - size :1500x3000mm.(5x10ฟุต)หนา 2.0 mm.</v>
      </c>
      <c r="G117" s="18">
        <v>3400</v>
      </c>
      <c r="H117" s="19">
        <f t="shared" si="2"/>
        <v>3778</v>
      </c>
      <c r="J117" s="114"/>
      <c r="K117" s="3"/>
    </row>
    <row r="118" spans="1:11" s="2" customFormat="1" ht="24" customHeight="1">
      <c r="A118" s="105" t="s">
        <v>19</v>
      </c>
      <c r="B118" s="16" t="s">
        <v>147</v>
      </c>
      <c r="C118" s="16" t="s">
        <v>298</v>
      </c>
      <c r="D118" s="16" t="s">
        <v>243</v>
      </c>
      <c r="E118" s="16" t="s">
        <v>248</v>
      </c>
      <c r="F118" s="17" t="str">
        <f t="shared" si="3"/>
        <v>แผ่นอลูมิเนียม AL 1100 - size :1200x2400mm.(4x8ฟุต)หนา 3.0 mm.</v>
      </c>
      <c r="G118" s="18">
        <v>3130</v>
      </c>
      <c r="H118" s="19">
        <f t="shared" si="2"/>
        <v>3478</v>
      </c>
      <c r="J118" s="114"/>
      <c r="K118" s="3"/>
    </row>
    <row r="119" spans="1:11" s="2" customFormat="1" ht="24" customHeight="1">
      <c r="A119" s="105" t="s">
        <v>21</v>
      </c>
      <c r="B119" s="16" t="s">
        <v>148</v>
      </c>
      <c r="C119" s="16" t="s">
        <v>298</v>
      </c>
      <c r="D119" s="16" t="s">
        <v>243</v>
      </c>
      <c r="E119" s="16" t="s">
        <v>309</v>
      </c>
      <c r="F119" s="17" t="str">
        <f t="shared" si="3"/>
        <v>แผ่นอลูมิเนียม AL 1100 - size :1200x2400mm.(4x8ฟุต)หนา 3.0 mm./ตีนเป็ด</v>
      </c>
      <c r="G119" s="18">
        <v>4555</v>
      </c>
      <c r="H119" s="19">
        <f t="shared" si="2"/>
        <v>5062</v>
      </c>
      <c r="J119" s="114"/>
      <c r="K119" s="3"/>
    </row>
    <row r="120" spans="1:11" s="2" customFormat="1" ht="24" customHeight="1">
      <c r="A120" s="105" t="s">
        <v>25</v>
      </c>
      <c r="B120" s="16" t="s">
        <v>149</v>
      </c>
      <c r="C120" s="16" t="s">
        <v>298</v>
      </c>
      <c r="D120" s="16" t="s">
        <v>243</v>
      </c>
      <c r="E120" s="16" t="s">
        <v>249</v>
      </c>
      <c r="F120" s="17" t="str">
        <f t="shared" si="3"/>
        <v>แผ่นอลูมิเนียม AL 1100 - size :1200x2400mm.(4x8ฟุต)หนา 4.0 mm.</v>
      </c>
      <c r="G120" s="18">
        <v>4950</v>
      </c>
      <c r="H120" s="19">
        <f t="shared" si="2"/>
        <v>5500</v>
      </c>
      <c r="J120" s="114"/>
      <c r="K120" s="3"/>
    </row>
    <row r="121" spans="1:11" s="2" customFormat="1" ht="24" customHeight="1">
      <c r="A121" s="105" t="s">
        <v>23</v>
      </c>
      <c r="B121" s="16" t="s">
        <v>150</v>
      </c>
      <c r="C121" s="16" t="s">
        <v>298</v>
      </c>
      <c r="D121" s="16" t="s">
        <v>243</v>
      </c>
      <c r="E121" s="16" t="s">
        <v>251</v>
      </c>
      <c r="F121" s="17" t="str">
        <f t="shared" si="3"/>
        <v>แผ่นอลูมิเนียม AL 1100 - size :1200x2400mm.(4x8ฟุต)หนา 5.0 mm.</v>
      </c>
      <c r="G121" s="18">
        <v>5250</v>
      </c>
      <c r="H121" s="19">
        <f t="shared" si="2"/>
        <v>5834</v>
      </c>
      <c r="J121" s="114"/>
      <c r="K121" s="3"/>
    </row>
    <row r="122" spans="1:11" s="2" customFormat="1" ht="24" customHeight="1">
      <c r="A122" s="105" t="s">
        <v>27</v>
      </c>
      <c r="B122" s="16" t="s">
        <v>151</v>
      </c>
      <c r="C122" s="16" t="s">
        <v>298</v>
      </c>
      <c r="D122" s="16" t="s">
        <v>243</v>
      </c>
      <c r="E122" s="16" t="s">
        <v>252</v>
      </c>
      <c r="F122" s="17" t="str">
        <f t="shared" si="3"/>
        <v>แผ่นอลูมิเนียม AL 1100 - size :1200x2400mm.(4x8ฟุต)หนา 6.0 mm.</v>
      </c>
      <c r="G122" s="18">
        <v>5500</v>
      </c>
      <c r="H122" s="19">
        <f t="shared" si="2"/>
        <v>6112</v>
      </c>
      <c r="J122" s="114"/>
      <c r="K122" s="3"/>
    </row>
    <row r="123" spans="1:11" s="2" customFormat="1" ht="24" customHeight="1">
      <c r="A123" s="105" t="s">
        <v>29</v>
      </c>
      <c r="B123" s="16" t="s">
        <v>152</v>
      </c>
      <c r="C123" s="16" t="s">
        <v>298</v>
      </c>
      <c r="D123" s="16" t="s">
        <v>243</v>
      </c>
      <c r="E123" s="16" t="s">
        <v>255</v>
      </c>
      <c r="F123" s="17" t="str">
        <f t="shared" si="3"/>
        <v>แผ่นอลูมิเนียม AL 1100 - size :1200x2400mm.(4x8ฟุต)หนา 10.0 mm.</v>
      </c>
      <c r="G123" s="18">
        <v>18800</v>
      </c>
      <c r="H123" s="19">
        <f t="shared" si="2"/>
        <v>20889</v>
      </c>
      <c r="J123" s="114"/>
      <c r="K123" s="3"/>
    </row>
    <row r="124" spans="1:11" s="2" customFormat="1" ht="24" customHeight="1">
      <c r="A124" s="105" t="s">
        <v>31</v>
      </c>
      <c r="B124" s="16" t="s">
        <v>153</v>
      </c>
      <c r="C124" s="16" t="s">
        <v>299</v>
      </c>
      <c r="D124" s="16" t="s">
        <v>243</v>
      </c>
      <c r="E124" s="16" t="s">
        <v>247</v>
      </c>
      <c r="F124" s="17" t="str">
        <f t="shared" si="3"/>
        <v>แผ่นอลูมิเนียม AL 5052 - size :1200x2400mm.(4x8ฟุต)หนา 2.0 mm.</v>
      </c>
      <c r="G124" s="18">
        <v>3900</v>
      </c>
      <c r="H124" s="19">
        <f t="shared" si="2"/>
        <v>4334</v>
      </c>
      <c r="J124" s="114"/>
      <c r="K124" s="3"/>
    </row>
    <row r="125" spans="1:11" s="2" customFormat="1" ht="24" customHeight="1">
      <c r="A125" s="105" t="s">
        <v>33</v>
      </c>
      <c r="B125" s="16" t="s">
        <v>154</v>
      </c>
      <c r="C125" s="16" t="s">
        <v>299</v>
      </c>
      <c r="D125" s="16" t="s">
        <v>243</v>
      </c>
      <c r="E125" s="16" t="s">
        <v>248</v>
      </c>
      <c r="F125" s="17" t="str">
        <f t="shared" si="3"/>
        <v>แผ่นอลูมิเนียม AL 5052 - size :1200x2400mm.(4x8ฟุต)หนา 3.0 mm.</v>
      </c>
      <c r="G125" s="18">
        <v>3400</v>
      </c>
      <c r="H125" s="19">
        <f t="shared" si="2"/>
        <v>3778</v>
      </c>
      <c r="J125" s="114"/>
      <c r="K125" s="3"/>
    </row>
    <row r="126" spans="1:11" s="2" customFormat="1" ht="24" customHeight="1">
      <c r="A126" s="105" t="s">
        <v>35</v>
      </c>
      <c r="B126" s="16" t="s">
        <v>155</v>
      </c>
      <c r="C126" s="16" t="s">
        <v>300</v>
      </c>
      <c r="D126" s="16" t="s">
        <v>243</v>
      </c>
      <c r="E126" s="16" t="s">
        <v>251</v>
      </c>
      <c r="F126" s="17" t="str">
        <f t="shared" si="3"/>
        <v>แผ่นอลูมิเนียม AL 5083 - size :1200x2400mm.(4x8ฟุต)หนา 5.0 mm.</v>
      </c>
      <c r="G126" s="18">
        <v>16500</v>
      </c>
      <c r="H126" s="19">
        <f t="shared" si="2"/>
        <v>18334</v>
      </c>
      <c r="J126" s="114"/>
      <c r="K126" s="3"/>
    </row>
    <row r="127" spans="1:11" s="2" customFormat="1" ht="24" customHeight="1">
      <c r="A127" s="105" t="s">
        <v>37</v>
      </c>
      <c r="B127" s="16" t="s">
        <v>156</v>
      </c>
      <c r="C127" s="16" t="s">
        <v>300</v>
      </c>
      <c r="D127" s="16" t="s">
        <v>244</v>
      </c>
      <c r="E127" s="16" t="s">
        <v>251</v>
      </c>
      <c r="F127" s="17" t="str">
        <f t="shared" si="3"/>
        <v>แผ่นอลูมิเนียม AL 5083 - size :1500x3000mm.(5x10ฟุต)หนา 5.0 mm.</v>
      </c>
      <c r="G127" s="18">
        <v>12600</v>
      </c>
      <c r="H127" s="19">
        <f t="shared" si="2"/>
        <v>14000</v>
      </c>
      <c r="J127" s="114"/>
      <c r="K127" s="3"/>
    </row>
    <row r="128" spans="1:11" s="2" customFormat="1" ht="24" customHeight="1">
      <c r="A128" s="105" t="s">
        <v>41</v>
      </c>
      <c r="B128" s="16" t="s">
        <v>157</v>
      </c>
      <c r="C128" s="16" t="s">
        <v>300</v>
      </c>
      <c r="D128" s="16" t="s">
        <v>243</v>
      </c>
      <c r="E128" s="16" t="s">
        <v>253</v>
      </c>
      <c r="F128" s="17" t="str">
        <f t="shared" si="3"/>
        <v>แผ่นอลูมิเนียม AL 5083 - size :1200x2400mm.(4x8ฟุต)หนา 8.0 mm.</v>
      </c>
      <c r="G128" s="18">
        <v>13250</v>
      </c>
      <c r="H128" s="19">
        <f t="shared" si="2"/>
        <v>14723</v>
      </c>
      <c r="J128" s="114"/>
      <c r="K128" s="3"/>
    </row>
    <row r="129" spans="1:10" ht="24" customHeight="1">
      <c r="A129" s="105" t="s">
        <v>39</v>
      </c>
      <c r="B129" s="16" t="s">
        <v>158</v>
      </c>
      <c r="C129" s="16" t="s">
        <v>300</v>
      </c>
      <c r="D129" s="16" t="s">
        <v>243</v>
      </c>
      <c r="E129" s="16" t="s">
        <v>254</v>
      </c>
      <c r="F129" s="17" t="str">
        <f t="shared" si="3"/>
        <v>แผ่นอลูมิเนียม AL 5083 - size :1200x2400mm.(4x8ฟุต)หนา 9.0 mm.</v>
      </c>
      <c r="G129" s="18">
        <v>18800</v>
      </c>
      <c r="H129" s="19">
        <f t="shared" si="2"/>
        <v>20889</v>
      </c>
      <c r="J129" s="114"/>
    </row>
    <row r="130" spans="1:10" ht="24" customHeight="1">
      <c r="A130" s="104"/>
      <c r="B130" s="12"/>
      <c r="C130" s="12"/>
      <c r="D130" s="12"/>
      <c r="E130" s="12"/>
      <c r="F130" s="13" t="s">
        <v>159</v>
      </c>
      <c r="G130" s="14"/>
      <c r="H130" s="15"/>
      <c r="J130" s="114"/>
    </row>
    <row r="131" spans="1:10" ht="24" customHeight="1">
      <c r="A131" s="105" t="s">
        <v>9</v>
      </c>
      <c r="B131" s="16" t="s">
        <v>160</v>
      </c>
      <c r="C131" s="16" t="s">
        <v>301</v>
      </c>
      <c r="D131" s="16" t="s">
        <v>243</v>
      </c>
      <c r="E131" s="16" t="s">
        <v>261</v>
      </c>
      <c r="F131" s="17" t="str">
        <f t="shared" si="3"/>
        <v>แผ่นทองเหลือง - size :1200x2400mm.(4x8ฟุต)หนา 0.8 mm.</v>
      </c>
      <c r="G131" s="18">
        <v>8000</v>
      </c>
      <c r="H131" s="19">
        <f t="shared" si="2"/>
        <v>8889</v>
      </c>
      <c r="J131" s="114"/>
    </row>
    <row r="132" spans="1:10" ht="24" customHeight="1">
      <c r="A132" s="105" t="s">
        <v>11</v>
      </c>
      <c r="B132" s="16" t="s">
        <v>161</v>
      </c>
      <c r="C132" s="16" t="s">
        <v>301</v>
      </c>
      <c r="D132" s="16" t="s">
        <v>243</v>
      </c>
      <c r="E132" s="16" t="s">
        <v>246</v>
      </c>
      <c r="F132" s="17" t="str">
        <f t="shared" si="3"/>
        <v>แผ่นทองเหลือง - size :1200x2400mm.(4x8ฟุต)หนา 1.5 mm.</v>
      </c>
      <c r="G132" s="18">
        <v>20400</v>
      </c>
      <c r="H132" s="19">
        <f t="shared" si="2"/>
        <v>22667</v>
      </c>
      <c r="J132" s="114"/>
    </row>
    <row r="133" spans="1:10" ht="24" customHeight="1">
      <c r="A133" s="105" t="s">
        <v>13</v>
      </c>
      <c r="B133" s="16" t="s">
        <v>162</v>
      </c>
      <c r="C133" s="16" t="s">
        <v>301</v>
      </c>
      <c r="D133" s="16" t="s">
        <v>277</v>
      </c>
      <c r="E133" s="16" t="s">
        <v>247</v>
      </c>
      <c r="F133" s="17" t="str">
        <f t="shared" si="3"/>
        <v>แผ่นทองเหลือง - size :600x1200mm.(2x4ฟุต)หนา 2.0 mm.</v>
      </c>
      <c r="G133" s="18">
        <v>45500</v>
      </c>
      <c r="H133" s="19">
        <f t="shared" ref="H133:H151" si="4">ROUNDUP(G133/0.9,0)</f>
        <v>50556</v>
      </c>
      <c r="I133" s="114"/>
      <c r="J133" s="114"/>
    </row>
    <row r="134" spans="1:10" ht="24" customHeight="1">
      <c r="A134" s="105" t="s">
        <v>15</v>
      </c>
      <c r="B134" s="16" t="s">
        <v>163</v>
      </c>
      <c r="C134" s="16" t="s">
        <v>301</v>
      </c>
      <c r="D134" s="16" t="s">
        <v>243</v>
      </c>
      <c r="E134" s="16" t="s">
        <v>247</v>
      </c>
      <c r="F134" s="17" t="str">
        <f t="shared" si="3"/>
        <v>แผ่นทองเหลือง - size :1200x2400mm.(4x8ฟุต)หนา 2.0 mm.</v>
      </c>
      <c r="G134" s="18">
        <v>23000</v>
      </c>
      <c r="H134" s="19">
        <f t="shared" si="4"/>
        <v>25556</v>
      </c>
      <c r="J134" s="114"/>
    </row>
    <row r="135" spans="1:10" ht="24" customHeight="1">
      <c r="A135" s="105" t="s">
        <v>17</v>
      </c>
      <c r="B135" s="16" t="s">
        <v>164</v>
      </c>
      <c r="C135" s="16" t="s">
        <v>301</v>
      </c>
      <c r="D135" s="16" t="s">
        <v>243</v>
      </c>
      <c r="E135" s="16" t="s">
        <v>248</v>
      </c>
      <c r="F135" s="17" t="str">
        <f t="shared" ref="F135:F151" si="5">C135&amp;D135&amp;E135</f>
        <v>แผ่นทองเหลือง - size :1200x2400mm.(4x8ฟุต)หนา 3.0 mm.</v>
      </c>
      <c r="G135" s="18">
        <v>34000</v>
      </c>
      <c r="H135" s="19">
        <f t="shared" si="4"/>
        <v>37778</v>
      </c>
      <c r="J135" s="114"/>
    </row>
    <row r="136" spans="1:10" ht="24" customHeight="1">
      <c r="A136" s="105" t="s">
        <v>19</v>
      </c>
      <c r="B136" s="16" t="s">
        <v>165</v>
      </c>
      <c r="C136" s="16" t="s">
        <v>301</v>
      </c>
      <c r="D136" s="16" t="s">
        <v>243</v>
      </c>
      <c r="E136" s="16" t="s">
        <v>250</v>
      </c>
      <c r="F136" s="17" t="str">
        <f t="shared" si="5"/>
        <v>แผ่นทองเหลือง - size :1200x2400mm.(4x8ฟุต)หนา 4.5 mm.</v>
      </c>
      <c r="G136" s="18">
        <v>45000</v>
      </c>
      <c r="H136" s="19">
        <f t="shared" si="4"/>
        <v>50000</v>
      </c>
      <c r="J136" s="114"/>
    </row>
    <row r="137" spans="1:10" ht="24" customHeight="1">
      <c r="A137" s="104"/>
      <c r="B137" s="12"/>
      <c r="C137" s="12"/>
      <c r="D137" s="12"/>
      <c r="E137" s="12"/>
      <c r="F137" s="13" t="s">
        <v>166</v>
      </c>
      <c r="G137" s="14"/>
      <c r="H137" s="15"/>
      <c r="J137" s="114"/>
    </row>
    <row r="138" spans="1:10" ht="24" customHeight="1">
      <c r="A138" s="105" t="s">
        <v>9</v>
      </c>
      <c r="B138" s="16" t="s">
        <v>167</v>
      </c>
      <c r="C138" s="16" t="s">
        <v>302</v>
      </c>
      <c r="D138" s="16" t="s">
        <v>243</v>
      </c>
      <c r="E138" s="16" t="s">
        <v>278</v>
      </c>
      <c r="F138" s="17" t="str">
        <f t="shared" si="5"/>
        <v>อะคริลิค - size :1200x2400mm.(4x8ฟุต)หนา 2.0 mm. /สีใส</v>
      </c>
      <c r="G138" s="117" t="e">
        <f>#REF!</f>
        <v>#REF!</v>
      </c>
      <c r="H138" s="19" t="e">
        <f t="shared" si="4"/>
        <v>#REF!</v>
      </c>
      <c r="J138" s="114"/>
    </row>
    <row r="139" spans="1:10" ht="24" customHeight="1">
      <c r="A139" s="105" t="s">
        <v>11</v>
      </c>
      <c r="B139" s="16" t="s">
        <v>168</v>
      </c>
      <c r="C139" s="16" t="s">
        <v>302</v>
      </c>
      <c r="D139" s="16" t="s">
        <v>243</v>
      </c>
      <c r="E139" s="16" t="s">
        <v>279</v>
      </c>
      <c r="F139" s="17" t="str">
        <f t="shared" si="5"/>
        <v>อะคริลิค - size :1200x2400mm.(4x8ฟุต)หนา 3.0 mm. /สีใส</v>
      </c>
      <c r="G139" s="117" t="e">
        <f>#REF!</f>
        <v>#REF!</v>
      </c>
      <c r="H139" s="19" t="e">
        <f t="shared" si="4"/>
        <v>#REF!</v>
      </c>
      <c r="J139" s="114"/>
    </row>
    <row r="140" spans="1:10" ht="24" customHeight="1">
      <c r="A140" s="105" t="s">
        <v>13</v>
      </c>
      <c r="B140" s="16" t="s">
        <v>169</v>
      </c>
      <c r="C140" s="16" t="s">
        <v>302</v>
      </c>
      <c r="D140" s="16" t="s">
        <v>243</v>
      </c>
      <c r="E140" s="16" t="s">
        <v>286</v>
      </c>
      <c r="F140" s="17" t="str">
        <f t="shared" si="5"/>
        <v>อะคริลิค - size :1200x2400mm.(4x8ฟุต)หนา 3.0 mm. /สีขาวนม</v>
      </c>
      <c r="G140" s="117" t="e">
        <f>#REF!</f>
        <v>#REF!</v>
      </c>
      <c r="H140" s="19" t="e">
        <f t="shared" si="4"/>
        <v>#REF!</v>
      </c>
      <c r="J140" s="114"/>
    </row>
    <row r="141" spans="1:10" ht="24" customHeight="1">
      <c r="A141" s="105" t="s">
        <v>15</v>
      </c>
      <c r="B141" s="16" t="s">
        <v>170</v>
      </c>
      <c r="C141" s="16" t="s">
        <v>302</v>
      </c>
      <c r="D141" s="16" t="s">
        <v>243</v>
      </c>
      <c r="E141" s="16" t="s">
        <v>280</v>
      </c>
      <c r="F141" s="17" t="str">
        <f t="shared" si="5"/>
        <v>อะคริลิค - size :1200x2400mm.(4x8ฟุต)หนา 5.0 mm. /สีใส</v>
      </c>
      <c r="G141" s="117" t="e">
        <f>#REF!</f>
        <v>#REF!</v>
      </c>
      <c r="H141" s="19" t="e">
        <f t="shared" si="4"/>
        <v>#REF!</v>
      </c>
      <c r="J141" s="114"/>
    </row>
    <row r="142" spans="1:10" ht="24" customHeight="1">
      <c r="A142" s="105" t="s">
        <v>17</v>
      </c>
      <c r="B142" s="16" t="s">
        <v>171</v>
      </c>
      <c r="C142" s="16" t="s">
        <v>302</v>
      </c>
      <c r="D142" s="16" t="s">
        <v>243</v>
      </c>
      <c r="E142" s="16" t="s">
        <v>287</v>
      </c>
      <c r="F142" s="17" t="str">
        <f t="shared" si="5"/>
        <v>อะคริลิค - size :1200x2400mm.(4x8ฟุต)หนา 5.0 mm. /สีดำ</v>
      </c>
      <c r="G142" s="117" t="e">
        <f>#REF!</f>
        <v>#REF!</v>
      </c>
      <c r="H142" s="19" t="e">
        <f t="shared" si="4"/>
        <v>#REF!</v>
      </c>
      <c r="J142" s="114"/>
    </row>
    <row r="143" spans="1:10" ht="24" customHeight="1">
      <c r="A143" s="105" t="s">
        <v>19</v>
      </c>
      <c r="B143" s="16" t="s">
        <v>172</v>
      </c>
      <c r="C143" s="16" t="s">
        <v>302</v>
      </c>
      <c r="D143" s="16" t="s">
        <v>243</v>
      </c>
      <c r="E143" s="16" t="s">
        <v>288</v>
      </c>
      <c r="F143" s="17" t="str">
        <f t="shared" si="5"/>
        <v>อะคริลิค - size :1200x2400mm.(4x8ฟุต)หนา 6.0 mm. /สีดำ</v>
      </c>
      <c r="G143" s="117" t="e">
        <f>#REF!</f>
        <v>#REF!</v>
      </c>
      <c r="H143" s="19" t="e">
        <f t="shared" si="4"/>
        <v>#REF!</v>
      </c>
      <c r="J143" s="114"/>
    </row>
    <row r="144" spans="1:10" ht="24" customHeight="1">
      <c r="A144" s="105" t="s">
        <v>21</v>
      </c>
      <c r="B144" s="16" t="s">
        <v>173</v>
      </c>
      <c r="C144" s="16" t="s">
        <v>302</v>
      </c>
      <c r="D144" s="16" t="s">
        <v>243</v>
      </c>
      <c r="E144" s="16" t="s">
        <v>281</v>
      </c>
      <c r="F144" s="17" t="str">
        <f t="shared" si="5"/>
        <v>อะคริลิค - size :1200x2400mm.(4x8ฟุต)หนา 8.0 mm. /สีใส</v>
      </c>
      <c r="G144" s="117" t="e">
        <f>#REF!</f>
        <v>#REF!</v>
      </c>
      <c r="H144" s="19" t="e">
        <f t="shared" si="4"/>
        <v>#REF!</v>
      </c>
      <c r="J144" s="114"/>
    </row>
    <row r="145" spans="1:11" s="2" customFormat="1" ht="24" customHeight="1">
      <c r="A145" s="105" t="s">
        <v>23</v>
      </c>
      <c r="B145" s="16" t="s">
        <v>174</v>
      </c>
      <c r="C145" s="16" t="s">
        <v>302</v>
      </c>
      <c r="D145" s="16" t="s">
        <v>243</v>
      </c>
      <c r="E145" s="16" t="s">
        <v>282</v>
      </c>
      <c r="F145" s="17" t="str">
        <f t="shared" si="5"/>
        <v>อะคริลิค - size :1200x2400mm.(4x8ฟุต)หนา 10.0 mm. /สีใส</v>
      </c>
      <c r="G145" s="117" t="e">
        <f>#REF!</f>
        <v>#REF!</v>
      </c>
      <c r="H145" s="19" t="e">
        <f t="shared" si="4"/>
        <v>#REF!</v>
      </c>
      <c r="J145" s="114"/>
      <c r="K145" s="3"/>
    </row>
    <row r="146" spans="1:11" s="2" customFormat="1" ht="24" customHeight="1">
      <c r="A146" s="105" t="s">
        <v>25</v>
      </c>
      <c r="B146" s="16" t="s">
        <v>175</v>
      </c>
      <c r="C146" s="16" t="s">
        <v>302</v>
      </c>
      <c r="D146" s="16" t="s">
        <v>243</v>
      </c>
      <c r="E146" s="16" t="s">
        <v>289</v>
      </c>
      <c r="F146" s="17" t="str">
        <f t="shared" si="5"/>
        <v>อะคริลิค - size :1200x2400mm.(4x8ฟุต)หนา 10.0 mm. /สีดำ</v>
      </c>
      <c r="G146" s="117" t="e">
        <f>#REF!</f>
        <v>#REF!</v>
      </c>
      <c r="H146" s="19" t="e">
        <f t="shared" si="4"/>
        <v>#REF!</v>
      </c>
      <c r="J146" s="114"/>
      <c r="K146" s="3"/>
    </row>
    <row r="147" spans="1:11" s="2" customFormat="1" ht="24" customHeight="1">
      <c r="A147" s="105" t="s">
        <v>27</v>
      </c>
      <c r="B147" s="16" t="s">
        <v>176</v>
      </c>
      <c r="C147" s="16" t="s">
        <v>302</v>
      </c>
      <c r="D147" s="16" t="s">
        <v>243</v>
      </c>
      <c r="E147" s="16" t="s">
        <v>283</v>
      </c>
      <c r="F147" s="17" t="str">
        <f t="shared" si="5"/>
        <v>อะคริลิค - size :1200x2400mm.(4x8ฟุต)หนา 15.0 mm. /สีใส</v>
      </c>
      <c r="G147" s="117" t="e">
        <f>#REF!</f>
        <v>#REF!</v>
      </c>
      <c r="H147" s="19" t="e">
        <f t="shared" si="4"/>
        <v>#REF!</v>
      </c>
      <c r="J147" s="114"/>
      <c r="K147" s="3"/>
    </row>
    <row r="148" spans="1:11" s="2" customFormat="1" ht="24" customHeight="1">
      <c r="A148" s="105" t="s">
        <v>29</v>
      </c>
      <c r="B148" s="16" t="s">
        <v>177</v>
      </c>
      <c r="C148" s="16" t="s">
        <v>302</v>
      </c>
      <c r="D148" s="16" t="s">
        <v>243</v>
      </c>
      <c r="E148" s="16" t="s">
        <v>284</v>
      </c>
      <c r="F148" s="17" t="str">
        <f t="shared" si="5"/>
        <v>อะคริลิค - size :1200x2400mm.(4x8ฟุต)หนา 20.0 mm. /สีใส</v>
      </c>
      <c r="G148" s="117" t="e">
        <f>#REF!</f>
        <v>#REF!</v>
      </c>
      <c r="H148" s="19" t="e">
        <f t="shared" si="4"/>
        <v>#REF!</v>
      </c>
      <c r="J148" s="114"/>
      <c r="K148" s="3"/>
    </row>
    <row r="149" spans="1:11" s="2" customFormat="1" ht="24" customHeight="1">
      <c r="A149" s="105" t="s">
        <v>31</v>
      </c>
      <c r="B149" s="16" t="s">
        <v>178</v>
      </c>
      <c r="C149" s="16" t="s">
        <v>302</v>
      </c>
      <c r="D149" s="16" t="s">
        <v>243</v>
      </c>
      <c r="E149" s="16" t="s">
        <v>285</v>
      </c>
      <c r="F149" s="17" t="str">
        <f t="shared" si="5"/>
        <v>อะคริลิค - size :1200x2400mm.(4x8ฟุต)หนา 25.0 mm. /สีใส</v>
      </c>
      <c r="G149" s="117" t="e">
        <f>#REF!</f>
        <v>#REF!</v>
      </c>
      <c r="H149" s="19" t="e">
        <f t="shared" si="4"/>
        <v>#REF!</v>
      </c>
      <c r="J149" s="114"/>
      <c r="K149" s="3"/>
    </row>
    <row r="150" spans="1:11" s="2" customFormat="1" ht="24" customHeight="1">
      <c r="A150" s="104"/>
      <c r="B150" s="12"/>
      <c r="C150" s="12"/>
      <c r="D150" s="12"/>
      <c r="E150" s="12"/>
      <c r="F150" s="13" t="s">
        <v>179</v>
      </c>
      <c r="G150" s="14"/>
      <c r="H150" s="15"/>
      <c r="J150" s="114"/>
      <c r="K150" s="3"/>
    </row>
    <row r="151" spans="1:11" s="2" customFormat="1" ht="24" customHeight="1" thickBot="1">
      <c r="A151" s="110" t="s">
        <v>9</v>
      </c>
      <c r="B151" s="115" t="s">
        <v>180</v>
      </c>
      <c r="C151" s="115" t="s">
        <v>303</v>
      </c>
      <c r="D151" s="115" t="s">
        <v>243</v>
      </c>
      <c r="E151" s="115" t="s">
        <v>290</v>
      </c>
      <c r="F151" s="116" t="str">
        <f t="shared" si="5"/>
        <v>ไม้ MDF - size :1200x2400mm.(4x8ฟุต)หนา 15 mm.</v>
      </c>
      <c r="G151" s="118" t="e">
        <f>#REF!</f>
        <v>#REF!</v>
      </c>
      <c r="H151" s="19" t="e">
        <f t="shared" si="4"/>
        <v>#REF!</v>
      </c>
      <c r="J151" s="114"/>
      <c r="K151" s="3"/>
    </row>
  </sheetData>
  <sheetProtection algorithmName="SHA-512" hashValue="tTmoHnubDiFkFyQECz+73kuLnTHFPYgRppuf7ZEVDOVgRvEVC3MMclZrz1Nh8oD+SZI0g018rie/oT58cDziEg==" saltValue="nFbhRO8b816ApIREdvwn4Q==" spinCount="100000" sheet="1" objects="1" scenarios="1"/>
  <autoFilter ref="A4:I151" xr:uid="{04D45EC6-D1DF-49AB-ACC3-EE9D068C0FBE}"/>
  <mergeCells count="1">
    <mergeCell ref="A1:F1"/>
  </mergeCells>
  <dataValidations count="1">
    <dataValidation type="list" allowBlank="1" showInputMessage="1" showErrorMessage="1" sqref="I5:I29" xr:uid="{9B8AE396-3F5F-4E9E-9393-EFF7EB339328}">
      <formula1>"มีสินค้า, ไม่มีสินค้า"</formula1>
    </dataValidation>
  </dataValidations>
  <pageMargins left="0.7" right="0.7" top="0.75" bottom="0.75" header="0.3" footer="0.3"/>
  <pageSetup orientation="portrait" horizontalDpi="0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2BEA-1BBA-41D8-9DF7-A23E220FA417}">
  <dimension ref="A1:D15"/>
  <sheetViews>
    <sheetView zoomScale="70" zoomScaleNormal="70" workbookViewId="0">
      <selection activeCell="F22" sqref="F22"/>
    </sheetView>
  </sheetViews>
  <sheetFormatPr defaultColWidth="8.7109375" defaultRowHeight="28.5"/>
  <cols>
    <col min="1" max="1" width="12.7109375" style="36" customWidth="1"/>
    <col min="2" max="2" width="45.28515625" style="36" bestFit="1" customWidth="1"/>
    <col min="3" max="3" width="41" style="37" bestFit="1" customWidth="1"/>
    <col min="4" max="4" width="11.7109375" style="38" bestFit="1" customWidth="1"/>
    <col min="5" max="16384" width="8.7109375" style="38"/>
  </cols>
  <sheetData>
    <row r="1" spans="1:4" s="36" customFormat="1">
      <c r="A1" s="36" t="s">
        <v>181</v>
      </c>
      <c r="B1" s="36" t="s">
        <v>182</v>
      </c>
      <c r="C1" s="36" t="s">
        <v>183</v>
      </c>
    </row>
    <row r="2" spans="1:4">
      <c r="A2" s="36" t="s">
        <v>184</v>
      </c>
      <c r="B2" s="37" t="s">
        <v>185</v>
      </c>
      <c r="C2" s="37" t="s">
        <v>186</v>
      </c>
      <c r="D2" s="164" t="s">
        <v>187</v>
      </c>
    </row>
    <row r="3" spans="1:4">
      <c r="A3" s="36" t="s">
        <v>188</v>
      </c>
      <c r="B3" s="37" t="s">
        <v>189</v>
      </c>
      <c r="C3" s="37" t="s">
        <v>190</v>
      </c>
      <c r="D3" s="164"/>
    </row>
    <row r="4" spans="1:4">
      <c r="A4" s="36" t="s">
        <v>191</v>
      </c>
      <c r="B4" s="37" t="s">
        <v>192</v>
      </c>
      <c r="C4" s="37" t="s">
        <v>193</v>
      </c>
    </row>
    <row r="5" spans="1:4">
      <c r="A5" s="36" t="s">
        <v>194</v>
      </c>
      <c r="B5" s="37" t="s">
        <v>195</v>
      </c>
      <c r="C5" s="37" t="s">
        <v>196</v>
      </c>
    </row>
    <row r="6" spans="1:4">
      <c r="B6" s="37"/>
    </row>
    <row r="7" spans="1:4">
      <c r="B7" s="37"/>
    </row>
    <row r="8" spans="1:4">
      <c r="B8" s="37" t="s">
        <v>197</v>
      </c>
      <c r="C8" s="37" t="s">
        <v>198</v>
      </c>
    </row>
    <row r="9" spans="1:4">
      <c r="B9" s="37" t="s">
        <v>199</v>
      </c>
      <c r="C9" s="37" t="s">
        <v>200</v>
      </c>
    </row>
    <row r="10" spans="1:4">
      <c r="B10" s="37"/>
    </row>
    <row r="11" spans="1:4">
      <c r="B11" s="37"/>
    </row>
    <row r="12" spans="1:4">
      <c r="B12" s="37"/>
    </row>
    <row r="13" spans="1:4">
      <c r="B13" s="37"/>
    </row>
    <row r="14" spans="1:4">
      <c r="B14" s="37"/>
    </row>
    <row r="15" spans="1:4">
      <c r="B15" s="37"/>
    </row>
  </sheetData>
  <sheetProtection algorithmName="SHA-512" hashValue="68LwB7siqPKrJjONNzmW6GkN92pIc5lrAEZaYWGwHnXyjqUPV06bJAyuLSiAdw0QGHR0N3NL/d/107/9/f1BEw==" saltValue="CaZSdsPHscZ94fJ5e6lemA==" spinCount="100000" sheet="1" objects="1" scenarios="1"/>
  <mergeCells count="1">
    <mergeCell ref="D2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Quotation </vt:lpstr>
      <vt:lpstr>Pricelistเดิม</vt:lpstr>
      <vt:lpstr>ขั้นตอนการทำงาน</vt:lpstr>
      <vt:lpstr>'Quotation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Khamin Deevaradhan</cp:lastModifiedBy>
  <cp:lastPrinted>2025-12-09T04:23:16Z</cp:lastPrinted>
  <dcterms:created xsi:type="dcterms:W3CDTF">2025-10-08T03:53:07Z</dcterms:created>
  <dcterms:modified xsi:type="dcterms:W3CDTF">2026-01-13T14:05:50Z</dcterms:modified>
</cp:coreProperties>
</file>